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isal/Documents/iESD/FeFlow/data/raw/"/>
    </mc:Choice>
  </mc:AlternateContent>
  <xr:revisionPtr revIDLastSave="0" documentId="13_ncr:1_{D79AB7A0-DD5F-4842-B727-0F79EB194B0A}" xr6:coauthVersionLast="47" xr6:coauthVersionMax="47" xr10:uidLastSave="{00000000-0000-0000-0000-000000000000}"/>
  <bookViews>
    <workbookView xWindow="1260" yWindow="1500" windowWidth="27240" windowHeight="15940" activeTab="2" xr2:uid="{7F4D77FC-CD1F-4644-8536-C9A78727609B}"/>
  </bookViews>
  <sheets>
    <sheet name="scrap_ratio" sheetId="1" r:id="rId1"/>
    <sheet name="EU Scrap" sheetId="5" r:id="rId2"/>
    <sheet name="global_scrap" sheetId="2" r:id="rId3"/>
    <sheet name="global scrap_descrip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" i="5" l="1"/>
  <c r="J50" i="5"/>
  <c r="J49" i="5"/>
  <c r="R140" i="2"/>
  <c r="T140" i="2" s="1"/>
  <c r="J46" i="5"/>
  <c r="K30" i="5"/>
  <c r="J30" i="5"/>
  <c r="K51" i="5"/>
  <c r="J51" i="5"/>
  <c r="K49" i="5"/>
  <c r="K48" i="5"/>
  <c r="J48" i="5"/>
  <c r="K47" i="5"/>
  <c r="J47" i="5"/>
  <c r="K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K36" i="5"/>
  <c r="J36" i="5"/>
  <c r="K35" i="5"/>
  <c r="J35" i="5"/>
  <c r="K34" i="5"/>
  <c r="J34" i="5"/>
  <c r="K33" i="5"/>
  <c r="J33" i="5"/>
  <c r="K32" i="5"/>
  <c r="J32" i="5"/>
  <c r="K31" i="5"/>
  <c r="J31" i="5"/>
  <c r="C30" i="5"/>
  <c r="B30" i="5"/>
  <c r="C51" i="5"/>
  <c r="B51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4" i="5"/>
  <c r="R141" i="2"/>
  <c r="T141" i="2" s="1"/>
  <c r="R142" i="2"/>
  <c r="T142" i="2" s="1"/>
  <c r="R143" i="2"/>
  <c r="T143" i="2" s="1"/>
  <c r="R144" i="2"/>
  <c r="T144" i="2" s="1"/>
  <c r="R145" i="2"/>
  <c r="T145" i="2" s="1"/>
  <c r="R146" i="2"/>
  <c r="T146" i="2" s="1"/>
  <c r="R147" i="2"/>
  <c r="T147" i="2" s="1"/>
  <c r="R148" i="2"/>
  <c r="T148" i="2" s="1"/>
  <c r="R149" i="2"/>
  <c r="T149" i="2" s="1"/>
  <c r="R150" i="2"/>
  <c r="T150" i="2" s="1"/>
  <c r="R151" i="2"/>
  <c r="T151" i="2" s="1"/>
  <c r="R152" i="2"/>
  <c r="T152" i="2" s="1"/>
  <c r="R153" i="2"/>
  <c r="T153" i="2" s="1"/>
  <c r="R154" i="2"/>
  <c r="T154" i="2" s="1"/>
  <c r="R155" i="2"/>
  <c r="T155" i="2" s="1"/>
  <c r="R156" i="2"/>
  <c r="T156" i="2" s="1"/>
  <c r="R157" i="2"/>
  <c r="T157" i="2" s="1"/>
  <c r="R158" i="2"/>
  <c r="T158" i="2" s="1"/>
  <c r="R159" i="2"/>
  <c r="T159" i="2" s="1"/>
  <c r="R160" i="2"/>
  <c r="T160" i="2" s="1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T4" i="1"/>
  <c r="T5" i="1"/>
  <c r="T6" i="1"/>
  <c r="T7" i="1"/>
  <c r="T3" i="1"/>
  <c r="O4" i="1"/>
  <c r="O5" i="1"/>
  <c r="O6" i="1"/>
  <c r="O7" i="1"/>
  <c r="O3" i="1"/>
  <c r="O29" i="1"/>
  <c r="O30" i="1"/>
  <c r="O31" i="1"/>
  <c r="O32" i="1"/>
  <c r="O28" i="1"/>
  <c r="O22" i="1"/>
  <c r="O23" i="1"/>
  <c r="O24" i="1"/>
  <c r="O25" i="1"/>
  <c r="O21" i="1"/>
  <c r="O15" i="1"/>
  <c r="O16" i="1"/>
  <c r="O17" i="1"/>
  <c r="O18" i="1"/>
  <c r="O14" i="1"/>
  <c r="B3" i="1"/>
  <c r="B4" i="1"/>
  <c r="B5" i="1"/>
  <c r="B6" i="1"/>
  <c r="B7" i="1"/>
</calcChain>
</file>

<file path=xl/sharedStrings.xml><?xml version="1.0" encoding="utf-8"?>
<sst xmlns="http://schemas.openxmlformats.org/spreadsheetml/2006/main" count="301" uniqueCount="125">
  <si>
    <t>Year</t>
  </si>
  <si>
    <t>Crude Steel</t>
  </si>
  <si>
    <t>China</t>
  </si>
  <si>
    <t>USA</t>
  </si>
  <si>
    <t>Japan</t>
  </si>
  <si>
    <t>Korea Rep.</t>
  </si>
  <si>
    <t>Turkey</t>
  </si>
  <si>
    <t>Russia</t>
  </si>
  <si>
    <t>EU-28/27</t>
  </si>
  <si>
    <t>Unit</t>
  </si>
  <si>
    <t>World</t>
  </si>
  <si>
    <t>EU</t>
  </si>
  <si>
    <t>Crude Steel Production (million tonnes)</t>
  </si>
  <si>
    <t>Steel Scrap Use (million tonnes)</t>
  </si>
  <si>
    <t>%</t>
  </si>
  <si>
    <t>Scrap</t>
  </si>
  <si>
    <r>
      <t>Table S2.</t>
    </r>
    <r>
      <rPr>
        <sz val="12"/>
        <color rgb="FF000000"/>
        <rFont val="Times New Roman"/>
        <family val="1"/>
      </rPr>
      <t xml:space="preserve"> Major parameters and the yearly results (1870</t>
    </r>
    <r>
      <rPr>
        <sz val="12"/>
        <color theme="1"/>
        <rFont val="Times New Roman"/>
        <family val="1"/>
      </rPr>
      <t>–</t>
    </r>
    <r>
      <rPr>
        <sz val="12"/>
        <color rgb="FF000000"/>
        <rFont val="Times New Roman"/>
        <family val="1"/>
      </rPr>
      <t>2012)</t>
    </r>
  </si>
  <si>
    <t>No.</t>
  </si>
  <si>
    <t>Item</t>
  </si>
  <si>
    <t>PI</t>
  </si>
  <si>
    <t>DRI</t>
  </si>
  <si>
    <t>CS</t>
  </si>
  <si>
    <t>cs EAF</t>
  </si>
  <si>
    <t>Ingot</t>
  </si>
  <si>
    <t>Casting</t>
  </si>
  <si>
    <t>FS</t>
  </si>
  <si>
    <t>FP</t>
  </si>
  <si>
    <t>Home</t>
  </si>
  <si>
    <t>New</t>
  </si>
  <si>
    <t>Old</t>
  </si>
  <si>
    <t>Discard</t>
  </si>
  <si>
    <t>Rate</t>
  </si>
  <si>
    <t>Stock</t>
  </si>
  <si>
    <r>
      <t>GDP</t>
    </r>
    <r>
      <rPr>
        <vertAlign val="subscript"/>
        <sz val="9"/>
        <color rgb="FF000000"/>
        <rFont val="Times New Roman"/>
        <family val="1"/>
      </rPr>
      <t>PPP</t>
    </r>
  </si>
  <si>
    <t>POP</t>
  </si>
  <si>
    <t>Fe%</t>
  </si>
  <si>
    <t>-</t>
  </si>
  <si>
    <t>Mt/y</t>
  </si>
  <si>
    <t>Bt</t>
  </si>
  <si>
    <t>T$</t>
  </si>
  <si>
    <t>M</t>
  </si>
  <si>
    <t>Label</t>
  </si>
  <si>
    <t>Content</t>
  </si>
  <si>
    <t>Reference and note</t>
  </si>
  <si>
    <t>Pig iron production</t>
  </si>
  <si>
    <t>million tons [gross] /year</t>
  </si>
  <si>
    <r>
      <t>Basically, the absolute amounts [1870</t>
    </r>
    <r>
      <rPr>
        <sz val="9"/>
        <color theme="1"/>
        <rFont val="Times New Roman"/>
        <family val="1"/>
      </rPr>
      <t>–</t>
    </r>
    <r>
      <rPr>
        <sz val="9"/>
        <color rgb="FF000000"/>
        <rFont val="Times New Roman"/>
        <family val="1"/>
      </rPr>
      <t>2008] were based on Wirtschaftsvereinigung Stahl (2010).</t>
    </r>
  </si>
  <si>
    <t>Supplementarily, the time trends were based on various references as follows:</t>
  </si>
  <si>
    <r>
      <t>-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Times New Roman"/>
        <family val="1"/>
      </rPr>
      <t>From 1870 to 1900, we also referred to Beck (1891</t>
    </r>
    <r>
      <rPr>
        <sz val="9"/>
        <color theme="1"/>
        <rFont val="Times New Roman"/>
        <family val="1"/>
      </rPr>
      <t>–</t>
    </r>
    <r>
      <rPr>
        <sz val="9"/>
        <color rgb="FF000000"/>
        <rFont val="Times New Roman"/>
        <family val="1"/>
      </rPr>
      <t>1903).</t>
    </r>
  </si>
  <si>
    <r>
      <t>-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Times New Roman"/>
        <family val="1"/>
      </rPr>
      <t>From 1901 to 1909, we also referred to Carr and Taplin (1962).</t>
    </r>
  </si>
  <si>
    <r>
      <t>-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Times New Roman"/>
        <family val="1"/>
      </rPr>
      <t>From 1910 to 1968, we also referred to USGS (2010).</t>
    </r>
  </si>
  <si>
    <r>
      <t>-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Times New Roman"/>
        <family val="1"/>
      </rPr>
      <t>From 1969 to 1979, we also referred to World Steel Association (1980).</t>
    </r>
  </si>
  <si>
    <r>
      <t>-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Times New Roman"/>
        <family val="1"/>
      </rPr>
      <t>From 1980 to 2011, we also referred to World Steel Association (1988</t>
    </r>
    <r>
      <rPr>
        <sz val="9"/>
        <color theme="1"/>
        <rFont val="Times New Roman"/>
        <family val="1"/>
      </rPr>
      <t>–</t>
    </r>
    <r>
      <rPr>
        <sz val="9"/>
        <color rgb="FF000000"/>
        <rFont val="Times New Roman"/>
        <family val="1"/>
      </rPr>
      <t>2012).</t>
    </r>
  </si>
  <si>
    <r>
      <t>-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Times New Roman"/>
        <family val="1"/>
      </rPr>
      <t>In 2012, we referred to the quick estimations by World Steel Association.</t>
    </r>
  </si>
  <si>
    <r>
      <t>In terms of iron weight of pig iron, we referred to Beck (1891</t>
    </r>
    <r>
      <rPr>
        <sz val="9"/>
        <color theme="1"/>
        <rFont val="Times New Roman"/>
        <family val="1"/>
      </rPr>
      <t>–</t>
    </r>
    <r>
      <rPr>
        <sz val="9"/>
        <color rgb="FF000000"/>
        <rFont val="Times New Roman"/>
        <family val="1"/>
      </rPr>
      <t>1903), Shimomura and Hayashi (2005), Neelis and Patel (2006), and Takamatsu et al. (2010a, b): 90% in 1870, 91% in 1900, 92% in 1950, 94% from 1985 to 2010, and 95% in 2100. Linear interpolations were applied.</t>
    </r>
  </si>
  <si>
    <t>Direct reduced iron production</t>
  </si>
  <si>
    <t>Midrex (2011)</t>
  </si>
  <si>
    <t>Total production of crude steel</t>
  </si>
  <si>
    <r>
      <t>-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Times New Roman"/>
        <family val="1"/>
      </rPr>
      <t>From 1870 to 1874, we also referred to Beck (1891</t>
    </r>
    <r>
      <rPr>
        <sz val="9"/>
        <color theme="1"/>
        <rFont val="Times New Roman"/>
        <family val="1"/>
      </rPr>
      <t>–</t>
    </r>
    <r>
      <rPr>
        <sz val="9"/>
        <color rgb="FF000000"/>
        <rFont val="Times New Roman"/>
        <family val="1"/>
      </rPr>
      <t>1903).</t>
    </r>
  </si>
  <si>
    <r>
      <t>-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Times New Roman"/>
        <family val="1"/>
      </rPr>
      <t>From 1875 to 1899, we also referred to Carr and Taplin (1962).</t>
    </r>
  </si>
  <si>
    <r>
      <t>-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Times New Roman"/>
        <family val="1"/>
      </rPr>
      <t>From 190 to 1979, we also referred to World Steel Association (1980).</t>
    </r>
  </si>
  <si>
    <t>Note that crude steel applied includes wrought iron.</t>
  </si>
  <si>
    <t>Production of crude steel in electric arc furnace (EAF)</t>
  </si>
  <si>
    <r>
      <t>Shimomura and Hayashi (2005), World Steel Association (1978</t>
    </r>
    <r>
      <rPr>
        <sz val="9"/>
        <color theme="1"/>
        <rFont val="Times New Roman"/>
        <family val="1"/>
      </rPr>
      <t>–</t>
    </r>
    <r>
      <rPr>
        <sz val="9"/>
        <color rgb="FF000000"/>
        <rFont val="Times New Roman"/>
        <family val="1"/>
      </rPr>
      <t>2012)</t>
    </r>
  </si>
  <si>
    <t>Production of forging steel and ingot molds</t>
  </si>
  <si>
    <t>million tons/year</t>
  </si>
  <si>
    <r>
      <t xml:space="preserve">Estimates based on regional productions (Carr and Taplin,1962; </t>
    </r>
    <r>
      <rPr>
        <sz val="9"/>
        <color theme="1"/>
        <rFont val="Times New Roman"/>
        <family val="1"/>
      </rPr>
      <t>American Foundry Society, 1972–2011; Japan Iron and Steel Federation, 1962–2012)</t>
    </r>
  </si>
  <si>
    <t>Iron casting production</t>
  </si>
  <si>
    <r>
      <t xml:space="preserve">Estimates based on regional primary data (Carr and Taplin,1962; </t>
    </r>
    <r>
      <rPr>
        <sz val="9"/>
        <color theme="1"/>
        <rFont val="Times New Roman"/>
        <family val="1"/>
      </rPr>
      <t>American Foundry Society, 1972–2011) and global secondary data (</t>
    </r>
    <r>
      <rPr>
        <sz val="9"/>
        <color rgb="FF000000"/>
        <rFont val="Times New Roman"/>
        <family val="1"/>
      </rPr>
      <t>Neelis and Patel, 2006)</t>
    </r>
  </si>
  <si>
    <t>Production of finished steel</t>
  </si>
  <si>
    <r>
      <t>[1870</t>
    </r>
    <r>
      <rPr>
        <sz val="9"/>
        <color theme="1"/>
        <rFont val="Times New Roman"/>
        <family val="1"/>
      </rPr>
      <t>–</t>
    </r>
    <r>
      <rPr>
        <sz val="9"/>
        <color rgb="FF000000"/>
        <rFont val="Times New Roman"/>
        <family val="1"/>
      </rPr>
      <t xml:space="preserve">1973] Estimates based on mass balance calculations and assumed various yield rates shown in </t>
    </r>
    <r>
      <rPr>
        <sz val="9"/>
        <color theme="1"/>
        <rFont val="Times New Roman"/>
        <family val="1"/>
      </rPr>
      <t>American Foundry Society (1972–2011), Wang et al. (2007), and Müller et al. (2011)</t>
    </r>
  </si>
  <si>
    <r>
      <t>[1974</t>
    </r>
    <r>
      <rPr>
        <sz val="9"/>
        <color theme="1"/>
        <rFont val="Times New Roman"/>
        <family val="1"/>
      </rPr>
      <t>–</t>
    </r>
    <r>
      <rPr>
        <sz val="9"/>
        <color rgb="FF000000"/>
        <rFont val="Times New Roman"/>
        <family val="1"/>
      </rPr>
      <t>2010] World Steel Association (1987</t>
    </r>
    <r>
      <rPr>
        <sz val="9"/>
        <color theme="1"/>
        <rFont val="Times New Roman"/>
        <family val="1"/>
      </rPr>
      <t>–</t>
    </r>
    <r>
      <rPr>
        <sz val="9"/>
        <color rgb="FF000000"/>
        <rFont val="Times New Roman"/>
        <family val="1"/>
      </rPr>
      <t>2011)</t>
    </r>
  </si>
  <si>
    <t>Production of finished product (iron weight equivalent)</t>
  </si>
  <si>
    <r>
      <t xml:space="preserve">Estimates based on mass balance calculations and yield rate shown in </t>
    </r>
    <r>
      <rPr>
        <sz val="9"/>
        <color theme="1"/>
        <rFont val="Times New Roman"/>
        <family val="1"/>
      </rPr>
      <t>Müller et al. (2011)</t>
    </r>
  </si>
  <si>
    <t>Home scrap consumption</t>
  </si>
  <si>
    <r>
      <t>[1870</t>
    </r>
    <r>
      <rPr>
        <sz val="9"/>
        <color theme="1"/>
        <rFont val="Times New Roman"/>
        <family val="1"/>
      </rPr>
      <t>–</t>
    </r>
    <r>
      <rPr>
        <sz val="9"/>
        <color rgb="FF000000"/>
        <rFont val="Times New Roman"/>
        <family val="1"/>
      </rPr>
      <t xml:space="preserve">1973] Estimates based on mass balance calculations and assumed various yield rates shown in </t>
    </r>
    <r>
      <rPr>
        <sz val="9"/>
        <color theme="1"/>
        <rFont val="Times New Roman"/>
        <family val="1"/>
      </rPr>
      <t xml:space="preserve">American Foundry Society (1972–2011), </t>
    </r>
    <r>
      <rPr>
        <sz val="9"/>
        <color rgb="FF000000"/>
        <rFont val="Times New Roman"/>
        <family val="1"/>
      </rPr>
      <t xml:space="preserve">Neelis and Patel (2006), </t>
    </r>
    <r>
      <rPr>
        <sz val="9"/>
        <color theme="1"/>
        <rFont val="Times New Roman"/>
        <family val="1"/>
      </rPr>
      <t>Wang et al. (2007), and Müller et al. (2011)</t>
    </r>
  </si>
  <si>
    <t>Note that the volume excludes circulating iron before crude steel making</t>
  </si>
  <si>
    <t>New scrap consumption</t>
  </si>
  <si>
    <r>
      <t xml:space="preserve">Estimates based on yield rate shown in </t>
    </r>
    <r>
      <rPr>
        <sz val="9"/>
        <color theme="1"/>
        <rFont val="Times New Roman"/>
        <family val="1"/>
      </rPr>
      <t>Müller et al. (2011)</t>
    </r>
  </si>
  <si>
    <t>Old scrap consumption</t>
  </si>
  <si>
    <t>Estimates based on mass balance calculations</t>
  </si>
  <si>
    <t>Discarded steel  (including grey area)</t>
  </si>
  <si>
    <t>Calculation based on finished products (No. 9), market share, and lifetime duration curves shown in Table 2.</t>
  </si>
  <si>
    <t>End-of-life recycling rate (Simple Moving Average (10 years))</t>
  </si>
  <si>
    <t>This is equal to old scrap consumption (No. 11) per discarded steel (No. 12). Lifetime-model-based recycling rate shown in Eq. (2) of the body text were applied. Since short-term fluctuation is significant, we referred simple moving average (10 years).</t>
  </si>
  <si>
    <t>In-use stock (excluding grey area)</t>
  </si>
  <si>
    <t>billion tons at the end of the year</t>
  </si>
  <si>
    <t>Calculation based on mass balance: cumulative volume of “finished products (No. 9) minus discarded steel (No. 13)”</t>
  </si>
  <si>
    <t>Gross domestic product in purchasing power parity exchange rates</t>
  </si>
  <si>
    <t>trillion 2005 international $/year</t>
  </si>
  <si>
    <r>
      <t>[1870</t>
    </r>
    <r>
      <rPr>
        <sz val="9"/>
        <color theme="1"/>
        <rFont val="Times New Roman"/>
        <family val="1"/>
      </rPr>
      <t>–1959</t>
    </r>
    <r>
      <rPr>
        <sz val="9"/>
        <color rgb="FF000000"/>
        <rFont val="Times New Roman"/>
        <family val="1"/>
      </rPr>
      <t xml:space="preserve">] Liner calibration based on </t>
    </r>
    <r>
      <rPr>
        <sz val="9"/>
        <color theme="1"/>
        <rFont val="Times New Roman"/>
        <family val="1"/>
      </rPr>
      <t>Maddison (1995) and PBL (2006)</t>
    </r>
  </si>
  <si>
    <r>
      <t>[</t>
    </r>
    <r>
      <rPr>
        <sz val="9"/>
        <color rgb="FF000000"/>
        <rFont val="Times New Roman"/>
        <family val="1"/>
      </rPr>
      <t>1960</t>
    </r>
    <r>
      <rPr>
        <sz val="9"/>
        <color theme="1"/>
        <rFont val="Times New Roman"/>
        <family val="1"/>
      </rPr>
      <t xml:space="preserve">–2008] </t>
    </r>
    <r>
      <rPr>
        <sz val="9"/>
        <color rgb="FF000000"/>
        <rFont val="Times New Roman"/>
        <family val="1"/>
      </rPr>
      <t>World Bank (2008, 2009)</t>
    </r>
  </si>
  <si>
    <r>
      <t>[2009</t>
    </r>
    <r>
      <rPr>
        <sz val="9"/>
        <color theme="1"/>
        <rFont val="Times New Roman"/>
        <family val="1"/>
      </rPr>
      <t>–2100] “Scenario A” of ALPS project conducted by Research Institute of Innovative Technology for the Earth (RITE) (Akimoto et al., 2012; Oda et al., 2012)</t>
    </r>
  </si>
  <si>
    <t>Population</t>
  </si>
  <si>
    <t>million</t>
  </si>
  <si>
    <r>
      <t>[1960</t>
    </r>
    <r>
      <rPr>
        <sz val="9"/>
        <color theme="1"/>
        <rFont val="Times New Roman"/>
        <family val="1"/>
      </rPr>
      <t>–2006</t>
    </r>
    <r>
      <rPr>
        <sz val="9"/>
        <color rgb="FF000000"/>
        <rFont val="Times New Roman"/>
        <family val="1"/>
      </rPr>
      <t>] UN (2007)</t>
    </r>
  </si>
  <si>
    <r>
      <t>[2007</t>
    </r>
    <r>
      <rPr>
        <sz val="9"/>
        <color theme="1"/>
        <rFont val="Times New Roman"/>
        <family val="1"/>
      </rPr>
      <t>–2100</t>
    </r>
    <r>
      <rPr>
        <sz val="9"/>
        <color rgb="FF000000"/>
        <rFont val="Times New Roman"/>
        <family val="1"/>
      </rPr>
      <t xml:space="preserve">] Estimates based on the medium variant of  UN (2007) (see also </t>
    </r>
    <r>
      <rPr>
        <sz val="9"/>
        <color theme="1"/>
        <rFont val="Times New Roman"/>
        <family val="1"/>
      </rPr>
      <t>Akimoto et al. (2012), Oda et al. (2012)</t>
    </r>
    <r>
      <rPr>
        <sz val="9"/>
        <color rgb="FF000000"/>
        <rFont val="Times New Roman"/>
        <family val="1"/>
      </rPr>
      <t>)</t>
    </r>
  </si>
  <si>
    <t>Steel Scrap Consumption</t>
  </si>
  <si>
    <t>Crude Steel Production</t>
  </si>
  <si>
    <t>Austria</t>
  </si>
  <si>
    <t>Belgium</t>
  </si>
  <si>
    <t>Bulgaria</t>
  </si>
  <si>
    <t>Czech Republic</t>
  </si>
  <si>
    <t>Finland</t>
  </si>
  <si>
    <t>France</t>
  </si>
  <si>
    <t>Hungary</t>
  </si>
  <si>
    <t>Italy</t>
  </si>
  <si>
    <t>Latvia</t>
  </si>
  <si>
    <t>Luxembourg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</si>
  <si>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</si>
  <si>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</si>
  <si>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</si>
  <si>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</si>
  <si>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</si>
  <si>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</si>
  <si>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</si>
  <si>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</si>
  <si>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</si>
  <si>
    <t>Germany</t>
  </si>
  <si>
    <t>Greece</t>
  </si>
  <si>
    <t>Croatia</t>
  </si>
  <si>
    <t>% Scrap</t>
  </si>
  <si>
    <t>EU-27/28</t>
  </si>
  <si>
    <t>https://doi.org/10.1016/j.resconrec.2013.10.002</t>
  </si>
  <si>
    <t>Ref: Long-term Global Availability of Steel Scrap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</si>
</sst>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9"/>
      <color rgb="FF000000"/>
      <name val="Times New Roman"/>
      <family val="1"/>
    </font>
    <font>
      <vertAlign val="subscript"/>
      <sz val="9"/>
      <color rgb="FF000000"/>
      <name val="Times New Roman"/>
      <family val="1"/>
    </font>
    <font>
      <sz val="9"/>
      <color theme="1"/>
      <name val="Times New Roman"/>
      <family val="1"/>
    </font>
    <font>
      <sz val="7"/>
      <color rgb="FF000000"/>
      <name val="Times New Roman"/>
      <family val="1"/>
    </font>
    <font>
      <sz val="8"/>
      <color rgb="FF000000"/>
      <name val="Times New Roman"/>
      <family val="1"/>
    </font>
    <font>
      <sz val="16"/>
      <color rgb="FF000000"/>
      <name val="Times New Roman"/>
      <family val="1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4">
    <xf numFmtId="0" fontId="0" fillId="0" borderId="0" xfId="0"/>
    <xf numFmtId="2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9" fontId="5" fillId="0" borderId="0" xfId="0" applyNumberFormat="1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/>
    </xf>
    <xf numFmtId="10" fontId="7" fillId="0" borderId="0" xfId="0" applyNumberFormat="1" applyFont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justify" vertical="center"/>
    </xf>
    <xf numFmtId="0" fontId="5" fillId="0" borderId="2" xfId="0" applyFont="1" applyBorder="1" applyAlignment="1">
      <alignment horizontal="justify" vertical="center"/>
    </xf>
    <xf numFmtId="0" fontId="7" fillId="0" borderId="0" xfId="0" applyFont="1" applyAlignment="1">
      <alignment horizontal="justify" vertical="center"/>
    </xf>
    <xf numFmtId="0" fontId="5" fillId="0" borderId="3" xfId="0" applyFont="1" applyBorder="1" applyAlignment="1">
      <alignment horizontal="justify" vertical="center"/>
    </xf>
    <xf numFmtId="0" fontId="5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4" xfId="0" applyBorder="1"/>
    <xf numFmtId="2" fontId="0" fillId="0" borderId="4" xfId="0" applyNumberFormat="1" applyBorder="1"/>
    <xf numFmtId="2" fontId="1" fillId="0" borderId="4" xfId="0" applyNumberFormat="1" applyFont="1" applyBorder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resconrec.2013.10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CC328-19A9-584C-8529-5E17DC2FE49F}">
  <dimension ref="A1:V32"/>
  <sheetViews>
    <sheetView workbookViewId="0">
      <selection activeCell="I12" sqref="I12"/>
    </sheetView>
  </sheetViews>
  <sheetFormatPr baseColWidth="10" defaultRowHeight="16" x14ac:dyDescent="0.2"/>
  <cols>
    <col min="1" max="1" width="15.5" bestFit="1" customWidth="1"/>
    <col min="4" max="4" width="17.1640625" bestFit="1" customWidth="1"/>
    <col min="18" max="18" width="15.1640625" bestFit="1" customWidth="1"/>
    <col min="19" max="20" width="6.1640625" bestFit="1" customWidth="1"/>
    <col min="21" max="23" width="7.1640625" bestFit="1" customWidth="1"/>
  </cols>
  <sheetData>
    <row r="1" spans="1:22" x14ac:dyDescent="0.2">
      <c r="A1" t="s">
        <v>0</v>
      </c>
      <c r="B1" t="s">
        <v>2</v>
      </c>
      <c r="C1" t="s">
        <v>8</v>
      </c>
      <c r="D1" t="s">
        <v>3</v>
      </c>
      <c r="E1" t="s">
        <v>4</v>
      </c>
      <c r="F1" t="s">
        <v>6</v>
      </c>
      <c r="G1" t="s">
        <v>7</v>
      </c>
      <c r="H1" t="s">
        <v>5</v>
      </c>
      <c r="I1" t="s">
        <v>10</v>
      </c>
      <c r="L1" t="s">
        <v>6</v>
      </c>
      <c r="Q1" t="s">
        <v>7</v>
      </c>
    </row>
    <row r="2" spans="1:22" x14ac:dyDescent="0.2">
      <c r="A2">
        <v>2005</v>
      </c>
      <c r="C2" s="2">
        <v>54.011241696474201</v>
      </c>
      <c r="D2" s="2">
        <v>69.546891464699684</v>
      </c>
      <c r="F2" s="2">
        <v>83.80952380952381</v>
      </c>
      <c r="I2">
        <v>40.4</v>
      </c>
      <c r="K2" s="2"/>
      <c r="L2" t="s">
        <v>0</v>
      </c>
      <c r="M2" t="s">
        <v>12</v>
      </c>
      <c r="N2" t="s">
        <v>13</v>
      </c>
      <c r="O2" t="s">
        <v>14</v>
      </c>
      <c r="Q2" t="s">
        <v>0</v>
      </c>
      <c r="R2" t="s">
        <v>12</v>
      </c>
      <c r="S2" t="s">
        <v>13</v>
      </c>
      <c r="T2" t="s">
        <v>14</v>
      </c>
    </row>
    <row r="3" spans="1:22" x14ac:dyDescent="0.2">
      <c r="A3">
        <v>2006</v>
      </c>
      <c r="B3" s="2">
        <f>(67.2/419.1)*100</f>
        <v>16.034359341445956</v>
      </c>
      <c r="C3" s="3">
        <v>55.727404499999999</v>
      </c>
      <c r="D3" s="2">
        <v>64.908722109533471</v>
      </c>
      <c r="E3" s="2">
        <v>36.316695352839936</v>
      </c>
      <c r="F3" s="2">
        <v>86.695278969957073</v>
      </c>
      <c r="G3" s="1">
        <v>28.531073446327682</v>
      </c>
      <c r="I3">
        <v>40.1</v>
      </c>
      <c r="L3">
        <v>2006</v>
      </c>
      <c r="M3">
        <v>23.3</v>
      </c>
      <c r="N3">
        <v>20.2</v>
      </c>
      <c r="O3">
        <f>(N3/M3)*100</f>
        <v>86.695278969957073</v>
      </c>
      <c r="Q3">
        <v>2006</v>
      </c>
      <c r="R3">
        <v>70.8</v>
      </c>
      <c r="S3">
        <v>20.2</v>
      </c>
      <c r="T3">
        <f>(S3/R3)*100</f>
        <v>28.531073446327682</v>
      </c>
    </row>
    <row r="4" spans="1:22" x14ac:dyDescent="0.2">
      <c r="A4">
        <v>2007</v>
      </c>
      <c r="B4" s="2">
        <f>(68.5/489.3)*100</f>
        <v>13.999591252810136</v>
      </c>
      <c r="C4" s="3">
        <v>55.518553799999999</v>
      </c>
      <c r="D4" s="2">
        <v>65.239551478083584</v>
      </c>
      <c r="E4" s="2">
        <v>36.938435940099836</v>
      </c>
      <c r="F4" s="2">
        <v>87.596899224806208</v>
      </c>
      <c r="G4" s="1">
        <v>29.558011049723753</v>
      </c>
      <c r="I4">
        <v>40.1</v>
      </c>
      <c r="L4">
        <v>2007</v>
      </c>
      <c r="M4">
        <v>25.8</v>
      </c>
      <c r="N4">
        <v>22.6</v>
      </c>
      <c r="O4">
        <f t="shared" ref="O4:O7" si="0">(N4/M4)*100</f>
        <v>87.596899224806208</v>
      </c>
      <c r="Q4">
        <v>2007</v>
      </c>
      <c r="R4">
        <v>72.400000000000006</v>
      </c>
      <c r="S4">
        <v>21.4</v>
      </c>
      <c r="T4">
        <f t="shared" ref="T4:T7" si="1">(S4/R4)*100</f>
        <v>29.558011049723753</v>
      </c>
    </row>
    <row r="5" spans="1:22" x14ac:dyDescent="0.2">
      <c r="A5">
        <v>2008</v>
      </c>
      <c r="B5" s="2">
        <f>(72/500.3)*100</f>
        <v>14.391365180891466</v>
      </c>
      <c r="C5" s="3">
        <v>56.155398599999998</v>
      </c>
      <c r="D5" s="2">
        <v>72.21006564551422</v>
      </c>
      <c r="E5" s="2">
        <v>37.742207245155853</v>
      </c>
      <c r="F5" s="2">
        <v>85.447761194029852</v>
      </c>
      <c r="G5" s="1">
        <v>29.34306569343066</v>
      </c>
      <c r="I5">
        <v>39.9</v>
      </c>
      <c r="L5">
        <v>2008</v>
      </c>
      <c r="M5">
        <v>26.8</v>
      </c>
      <c r="N5">
        <v>22.9</v>
      </c>
      <c r="O5">
        <f t="shared" si="0"/>
        <v>85.447761194029852</v>
      </c>
      <c r="Q5">
        <v>2008</v>
      </c>
      <c r="R5">
        <v>68.5</v>
      </c>
      <c r="S5">
        <v>20.100000000000001</v>
      </c>
      <c r="T5">
        <f t="shared" si="1"/>
        <v>29.34306569343066</v>
      </c>
    </row>
    <row r="6" spans="1:22" x14ac:dyDescent="0.2">
      <c r="A6">
        <v>2009</v>
      </c>
      <c r="B6" s="2">
        <f>(83.1/573.6)*100</f>
        <v>14.487447698744768</v>
      </c>
      <c r="C6" s="3">
        <v>58.034433300000003</v>
      </c>
      <c r="D6" s="2">
        <v>91.065292096219935</v>
      </c>
      <c r="E6" s="2">
        <v>34.057142857142857</v>
      </c>
      <c r="F6" s="2">
        <v>84.980237154150188</v>
      </c>
      <c r="G6" s="1">
        <v>22.833333333333332</v>
      </c>
      <c r="I6">
        <v>37.6</v>
      </c>
      <c r="L6">
        <v>2009</v>
      </c>
      <c r="M6">
        <v>25.3</v>
      </c>
      <c r="N6">
        <v>21.5</v>
      </c>
      <c r="O6">
        <f t="shared" si="0"/>
        <v>84.980237154150188</v>
      </c>
      <c r="Q6">
        <v>2009</v>
      </c>
      <c r="R6">
        <v>60</v>
      </c>
      <c r="S6">
        <v>13.7</v>
      </c>
      <c r="T6">
        <f t="shared" si="1"/>
        <v>22.833333333333332</v>
      </c>
    </row>
    <row r="7" spans="1:22" x14ac:dyDescent="0.2">
      <c r="A7">
        <v>2010</v>
      </c>
      <c r="B7" s="2">
        <f>(86.7/626.7)*100</f>
        <v>13.834370512206798</v>
      </c>
      <c r="C7" s="3">
        <v>55.504055600000001</v>
      </c>
      <c r="D7" s="2">
        <v>63.354037267080741</v>
      </c>
      <c r="E7" s="2">
        <v>35.036496350364963</v>
      </c>
      <c r="F7" s="2">
        <v>86.941580756013749</v>
      </c>
      <c r="G7" s="1">
        <v>30.792227204783256</v>
      </c>
      <c r="I7">
        <v>37.5</v>
      </c>
      <c r="L7">
        <v>2010</v>
      </c>
      <c r="M7">
        <v>29.1</v>
      </c>
      <c r="N7">
        <v>25.3</v>
      </c>
      <c r="O7">
        <f t="shared" si="0"/>
        <v>86.941580756013749</v>
      </c>
      <c r="Q7">
        <v>2010</v>
      </c>
      <c r="R7">
        <v>66.900000000000006</v>
      </c>
      <c r="S7">
        <v>20.6</v>
      </c>
      <c r="T7">
        <f t="shared" si="1"/>
        <v>30.792227204783256</v>
      </c>
    </row>
    <row r="8" spans="1:22" x14ac:dyDescent="0.2">
      <c r="A8">
        <v>2011</v>
      </c>
      <c r="B8">
        <v>13</v>
      </c>
      <c r="C8">
        <v>56.3</v>
      </c>
      <c r="D8">
        <v>72.900000000000006</v>
      </c>
      <c r="E8">
        <v>34.6</v>
      </c>
      <c r="F8">
        <v>90.3</v>
      </c>
      <c r="G8">
        <v>30.5</v>
      </c>
      <c r="H8">
        <v>45</v>
      </c>
      <c r="I8">
        <v>37.1</v>
      </c>
    </row>
    <row r="9" spans="1:22" x14ac:dyDescent="0.2">
      <c r="A9">
        <v>2012</v>
      </c>
      <c r="B9">
        <v>11.5</v>
      </c>
      <c r="C9">
        <v>55.9</v>
      </c>
      <c r="D9">
        <v>71</v>
      </c>
      <c r="E9">
        <v>33.1</v>
      </c>
      <c r="F9">
        <v>90.3</v>
      </c>
      <c r="G9">
        <v>28.6</v>
      </c>
      <c r="H9">
        <v>47.2</v>
      </c>
      <c r="I9">
        <v>36.5</v>
      </c>
    </row>
    <row r="10" spans="1:22" x14ac:dyDescent="0.2">
      <c r="A10">
        <v>2013</v>
      </c>
      <c r="B10">
        <v>10.4</v>
      </c>
      <c r="C10">
        <v>54.3</v>
      </c>
      <c r="D10">
        <v>67.900000000000006</v>
      </c>
      <c r="E10">
        <v>33.200000000000003</v>
      </c>
      <c r="F10">
        <v>87.6</v>
      </c>
      <c r="G10">
        <v>28.1</v>
      </c>
      <c r="H10">
        <v>49.5</v>
      </c>
      <c r="I10">
        <v>35.200000000000003</v>
      </c>
    </row>
    <row r="11" spans="1:22" x14ac:dyDescent="0.2">
      <c r="A11">
        <v>2014</v>
      </c>
      <c r="B11">
        <v>10.6</v>
      </c>
      <c r="C11">
        <v>54.1</v>
      </c>
      <c r="D11">
        <v>70.3</v>
      </c>
      <c r="E11">
        <v>33.299999999999997</v>
      </c>
      <c r="F11">
        <v>82.9</v>
      </c>
      <c r="G11">
        <v>27</v>
      </c>
      <c r="H11">
        <v>45.6</v>
      </c>
      <c r="I11">
        <v>35.03</v>
      </c>
      <c r="R11">
        <v>2016</v>
      </c>
      <c r="S11">
        <v>2017</v>
      </c>
      <c r="T11">
        <v>2018</v>
      </c>
      <c r="U11">
        <v>2019</v>
      </c>
      <c r="V11">
        <v>2020</v>
      </c>
    </row>
    <row r="12" spans="1:22" x14ac:dyDescent="0.2">
      <c r="A12">
        <v>2015</v>
      </c>
      <c r="B12">
        <v>10.4</v>
      </c>
      <c r="C12">
        <v>54.8</v>
      </c>
      <c r="D12">
        <v>71.7</v>
      </c>
      <c r="E12">
        <v>31.9</v>
      </c>
      <c r="F12">
        <v>82.7</v>
      </c>
      <c r="G12">
        <v>24.4</v>
      </c>
      <c r="H12">
        <v>42.9</v>
      </c>
      <c r="I12">
        <v>34.369999999999997</v>
      </c>
      <c r="L12" t="s">
        <v>11</v>
      </c>
      <c r="Q12" t="s">
        <v>1</v>
      </c>
      <c r="R12">
        <v>1631</v>
      </c>
      <c r="S12">
        <v>1735</v>
      </c>
      <c r="T12">
        <v>1827</v>
      </c>
      <c r="U12">
        <v>1874</v>
      </c>
      <c r="V12">
        <v>1877</v>
      </c>
    </row>
    <row r="13" spans="1:22" x14ac:dyDescent="0.2">
      <c r="A13">
        <v>2016</v>
      </c>
      <c r="B13">
        <v>11.2</v>
      </c>
      <c r="C13">
        <v>53.2</v>
      </c>
      <c r="D13">
        <v>72.2</v>
      </c>
      <c r="E13">
        <v>32.1</v>
      </c>
      <c r="F13">
        <v>78</v>
      </c>
      <c r="G13">
        <v>39.5</v>
      </c>
      <c r="H13">
        <v>39.9</v>
      </c>
      <c r="I13">
        <v>34.36</v>
      </c>
      <c r="L13" t="s">
        <v>0</v>
      </c>
      <c r="M13" t="s">
        <v>12</v>
      </c>
      <c r="N13" t="s">
        <v>13</v>
      </c>
      <c r="O13" t="s">
        <v>14</v>
      </c>
      <c r="Q13" t="s">
        <v>15</v>
      </c>
    </row>
    <row r="14" spans="1:22" x14ac:dyDescent="0.2">
      <c r="A14">
        <v>2017</v>
      </c>
      <c r="B14">
        <v>17</v>
      </c>
      <c r="C14">
        <v>55.5</v>
      </c>
      <c r="D14">
        <v>72.099999999999994</v>
      </c>
      <c r="E14">
        <v>34.200000000000003</v>
      </c>
      <c r="F14">
        <v>80.8</v>
      </c>
      <c r="G14">
        <v>39.5</v>
      </c>
      <c r="H14">
        <v>43.2</v>
      </c>
      <c r="L14">
        <v>2006</v>
      </c>
      <c r="M14">
        <v>206.9</v>
      </c>
      <c r="N14">
        <v>115.3</v>
      </c>
      <c r="O14">
        <f>(N14/M14)*100</f>
        <v>55.727404543257606</v>
      </c>
    </row>
    <row r="15" spans="1:22" x14ac:dyDescent="0.2">
      <c r="A15">
        <v>2018</v>
      </c>
      <c r="B15">
        <v>20.2</v>
      </c>
      <c r="C15">
        <v>54.4</v>
      </c>
      <c r="D15">
        <v>69.400000000000006</v>
      </c>
      <c r="E15">
        <v>35</v>
      </c>
      <c r="F15">
        <v>83.9</v>
      </c>
      <c r="G15">
        <v>41</v>
      </c>
      <c r="H15">
        <v>41.4</v>
      </c>
      <c r="L15">
        <v>2007</v>
      </c>
      <c r="M15">
        <v>210.2</v>
      </c>
      <c r="N15">
        <v>116.7</v>
      </c>
      <c r="O15">
        <f t="shared" ref="O15:O18" si="2">(N15/M15)*100</f>
        <v>55.518553758325403</v>
      </c>
    </row>
    <row r="16" spans="1:22" x14ac:dyDescent="0.2">
      <c r="A16">
        <v>2019</v>
      </c>
      <c r="B16">
        <v>21.7</v>
      </c>
      <c r="C16">
        <v>55</v>
      </c>
      <c r="D16">
        <v>69.099999999999994</v>
      </c>
      <c r="E16">
        <v>33.9</v>
      </c>
      <c r="F16">
        <v>82.8</v>
      </c>
      <c r="G16">
        <v>43.7</v>
      </c>
      <c r="H16">
        <v>39.9</v>
      </c>
      <c r="L16">
        <v>2008</v>
      </c>
      <c r="M16">
        <v>198.2</v>
      </c>
      <c r="N16">
        <v>111.3</v>
      </c>
      <c r="O16">
        <f t="shared" si="2"/>
        <v>56.155398587285575</v>
      </c>
    </row>
    <row r="17" spans="1:15" x14ac:dyDescent="0.2">
      <c r="A17">
        <v>2020</v>
      </c>
      <c r="B17">
        <v>21.8</v>
      </c>
      <c r="C17">
        <v>57</v>
      </c>
      <c r="D17">
        <v>69.099999999999994</v>
      </c>
      <c r="E17">
        <v>34.799999999999997</v>
      </c>
      <c r="F17">
        <v>84.1</v>
      </c>
      <c r="G17">
        <v>40.9</v>
      </c>
      <c r="H17">
        <v>38.5</v>
      </c>
      <c r="L17">
        <v>2009</v>
      </c>
      <c r="M17">
        <v>139.4</v>
      </c>
      <c r="N17">
        <v>80.900000000000006</v>
      </c>
      <c r="O17">
        <f t="shared" si="2"/>
        <v>58.034433285509323</v>
      </c>
    </row>
    <row r="18" spans="1:15" x14ac:dyDescent="0.2">
      <c r="A18">
        <v>2021</v>
      </c>
      <c r="B18">
        <v>21.9</v>
      </c>
      <c r="C18">
        <v>57.8</v>
      </c>
      <c r="D18">
        <v>69.2</v>
      </c>
      <c r="E18">
        <v>34.799999999999997</v>
      </c>
      <c r="F18">
        <v>86.1</v>
      </c>
      <c r="G18">
        <v>41.7</v>
      </c>
      <c r="H18">
        <v>40.200000000000003</v>
      </c>
      <c r="L18">
        <v>2010</v>
      </c>
      <c r="M18">
        <v>172.6</v>
      </c>
      <c r="N18">
        <v>95.8</v>
      </c>
      <c r="O18">
        <f t="shared" si="2"/>
        <v>55.504055619930469</v>
      </c>
    </row>
    <row r="19" spans="1:15" x14ac:dyDescent="0.2">
      <c r="A19">
        <v>2022</v>
      </c>
      <c r="B19">
        <v>22.2</v>
      </c>
      <c r="C19">
        <v>58.2</v>
      </c>
      <c r="D19">
        <v>70.3</v>
      </c>
      <c r="E19">
        <v>36.799999999999997</v>
      </c>
      <c r="F19">
        <v>86.3</v>
      </c>
      <c r="G19">
        <v>41.1</v>
      </c>
      <c r="H19">
        <v>39.9</v>
      </c>
      <c r="L19" t="s">
        <v>3</v>
      </c>
    </row>
    <row r="20" spans="1:15" x14ac:dyDescent="0.2">
      <c r="L20" t="s">
        <v>0</v>
      </c>
      <c r="M20" t="s">
        <v>12</v>
      </c>
      <c r="N20" t="s">
        <v>13</v>
      </c>
      <c r="O20" t="s">
        <v>14</v>
      </c>
    </row>
    <row r="21" spans="1:15" x14ac:dyDescent="0.2">
      <c r="L21">
        <v>2006</v>
      </c>
      <c r="M21">
        <v>98.6</v>
      </c>
      <c r="N21">
        <v>64</v>
      </c>
      <c r="O21">
        <f>(N21/M21)*100</f>
        <v>64.908722109533471</v>
      </c>
    </row>
    <row r="22" spans="1:15" x14ac:dyDescent="0.2">
      <c r="L22">
        <v>2007</v>
      </c>
      <c r="M22">
        <v>98.1</v>
      </c>
      <c r="N22">
        <v>64</v>
      </c>
      <c r="O22">
        <f t="shared" ref="O22:O25" si="3">(N22/M22)*100</f>
        <v>65.239551478083584</v>
      </c>
    </row>
    <row r="23" spans="1:15" x14ac:dyDescent="0.2">
      <c r="L23">
        <v>2008</v>
      </c>
      <c r="M23">
        <v>91.4</v>
      </c>
      <c r="N23">
        <v>66</v>
      </c>
      <c r="O23">
        <f t="shared" si="3"/>
        <v>72.21006564551422</v>
      </c>
    </row>
    <row r="24" spans="1:15" x14ac:dyDescent="0.2">
      <c r="L24">
        <v>2009</v>
      </c>
      <c r="M24">
        <v>58.2</v>
      </c>
      <c r="N24">
        <v>53</v>
      </c>
      <c r="O24">
        <f t="shared" si="3"/>
        <v>91.065292096219935</v>
      </c>
    </row>
    <row r="25" spans="1:15" x14ac:dyDescent="0.2">
      <c r="L25">
        <v>2010</v>
      </c>
      <c r="M25">
        <v>80.5</v>
      </c>
      <c r="N25">
        <v>51</v>
      </c>
      <c r="O25">
        <f t="shared" si="3"/>
        <v>63.354037267080741</v>
      </c>
    </row>
    <row r="26" spans="1:15" x14ac:dyDescent="0.2">
      <c r="L26" t="s">
        <v>4</v>
      </c>
    </row>
    <row r="27" spans="1:15" x14ac:dyDescent="0.2">
      <c r="L27" t="s">
        <v>0</v>
      </c>
      <c r="M27" t="s">
        <v>12</v>
      </c>
      <c r="N27" t="s">
        <v>13</v>
      </c>
      <c r="O27" t="s">
        <v>14</v>
      </c>
    </row>
    <row r="28" spans="1:15" x14ac:dyDescent="0.2">
      <c r="L28">
        <v>2006</v>
      </c>
      <c r="M28">
        <v>116.2</v>
      </c>
      <c r="N28">
        <v>42.2</v>
      </c>
      <c r="O28">
        <f>(N28/M28)*100</f>
        <v>36.316695352839936</v>
      </c>
    </row>
    <row r="29" spans="1:15" x14ac:dyDescent="0.2">
      <c r="L29">
        <v>2007</v>
      </c>
      <c r="M29">
        <v>120.2</v>
      </c>
      <c r="N29">
        <v>44.4</v>
      </c>
      <c r="O29">
        <f t="shared" ref="O29:O32" si="4">(N29/M29)*100</f>
        <v>36.938435940099836</v>
      </c>
    </row>
    <row r="30" spans="1:15" x14ac:dyDescent="0.2">
      <c r="L30">
        <v>2008</v>
      </c>
      <c r="M30">
        <v>118.7</v>
      </c>
      <c r="N30">
        <v>44.8</v>
      </c>
      <c r="O30">
        <f t="shared" si="4"/>
        <v>37.742207245155853</v>
      </c>
    </row>
    <row r="31" spans="1:15" x14ac:dyDescent="0.2">
      <c r="L31">
        <v>2009</v>
      </c>
      <c r="M31">
        <v>87.5</v>
      </c>
      <c r="N31">
        <v>29.8</v>
      </c>
      <c r="O31">
        <f t="shared" si="4"/>
        <v>34.057142857142857</v>
      </c>
    </row>
    <row r="32" spans="1:15" x14ac:dyDescent="0.2">
      <c r="L32">
        <v>2010</v>
      </c>
      <c r="M32">
        <v>109.6</v>
      </c>
      <c r="N32">
        <v>38.4</v>
      </c>
      <c r="O32">
        <f t="shared" si="4"/>
        <v>35.036496350364963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A9993-C17C-0D40-88F7-163BC42B6CD0}">
  <dimension ref="A2:Z51"/>
  <sheetViews>
    <sheetView zoomScale="86" workbookViewId="0">
      <selection activeCell="R40" sqref="R40"/>
    </sheetView>
  </sheetViews>
  <sheetFormatPr baseColWidth="10" defaultRowHeight="16" x14ac:dyDescent="0.2"/>
  <cols>
    <col min="1" max="1" width="13.83203125" bestFit="1" customWidth="1"/>
    <col min="2" max="3" width="6.83203125" bestFit="1" customWidth="1"/>
    <col min="4" max="4" width="10.6640625" customWidth="1"/>
    <col min="5" max="5" width="10" customWidth="1"/>
    <col min="6" max="6" width="9.5" customWidth="1"/>
    <col min="7" max="7" width="11.83203125" customWidth="1"/>
    <col min="8" max="8" width="8.83203125" bestFit="1" customWidth="1"/>
    <col min="9" max="9" width="13.83203125" bestFit="1" customWidth="1"/>
    <col min="10" max="11" width="6.83203125" bestFit="1" customWidth="1"/>
    <col min="12" max="12" width="8.1640625" customWidth="1"/>
    <col min="13" max="13" width="11.83203125" customWidth="1"/>
    <col min="14" max="14" width="9.6640625" customWidth="1"/>
    <col min="15" max="15" width="11" customWidth="1"/>
    <col min="17" max="17" width="13.83203125" bestFit="1" customWidth="1"/>
    <col min="18" max="18" width="21.83203125" bestFit="1" customWidth="1"/>
    <col min="19" max="19" width="8.6640625" bestFit="1" customWidth="1"/>
    <col min="20" max="20" width="6.83203125" bestFit="1" customWidth="1"/>
    <col min="21" max="21" width="8.6640625" bestFit="1" customWidth="1"/>
    <col min="22" max="25" width="6.83203125" bestFit="1" customWidth="1"/>
    <col min="26" max="26" width="7.5" customWidth="1"/>
    <col min="29" max="29" width="7.1640625" bestFit="1" customWidth="1"/>
  </cols>
  <sheetData>
    <row r="2" spans="1:26" x14ac:dyDescent="0.2">
      <c r="A2" s="22"/>
      <c r="B2" s="29" t="s">
        <v>121</v>
      </c>
      <c r="C2" s="30"/>
      <c r="D2" s="28" t="s">
        <v>97</v>
      </c>
      <c r="E2" s="28"/>
      <c r="F2" s="28" t="s">
        <v>98</v>
      </c>
      <c r="G2" s="28"/>
      <c r="I2" s="22"/>
      <c r="J2" s="28" t="s">
        <v>121</v>
      </c>
      <c r="K2" s="28"/>
      <c r="L2" s="28" t="s">
        <v>97</v>
      </c>
      <c r="M2" s="28"/>
      <c r="N2" s="28" t="s">
        <v>98</v>
      </c>
      <c r="O2" s="28"/>
      <c r="R2" s="22"/>
      <c r="S2" s="22">
        <v>2010</v>
      </c>
      <c r="T2" s="22">
        <v>2011</v>
      </c>
      <c r="U2" s="22">
        <v>2012</v>
      </c>
      <c r="V2" s="22">
        <v>2013</v>
      </c>
      <c r="W2" s="22">
        <v>2014</v>
      </c>
      <c r="X2" s="22">
        <v>2015</v>
      </c>
      <c r="Y2" s="22">
        <v>2016</v>
      </c>
      <c r="Z2" s="22">
        <v>2017</v>
      </c>
    </row>
    <row r="3" spans="1:26" x14ac:dyDescent="0.2">
      <c r="A3" s="22"/>
      <c r="B3" s="22">
        <v>2013</v>
      </c>
      <c r="C3" s="22">
        <v>2012</v>
      </c>
      <c r="D3" s="22">
        <v>2013</v>
      </c>
      <c r="E3" s="22">
        <v>2012</v>
      </c>
      <c r="F3" s="22">
        <v>2013</v>
      </c>
      <c r="G3" s="22">
        <v>2012</v>
      </c>
      <c r="I3" s="22"/>
      <c r="J3" s="22">
        <v>2015</v>
      </c>
      <c r="K3" s="22">
        <v>2014</v>
      </c>
      <c r="L3" s="22">
        <v>2015</v>
      </c>
      <c r="M3" s="22">
        <v>2014</v>
      </c>
      <c r="N3" s="22">
        <v>2015</v>
      </c>
      <c r="O3" s="22">
        <v>2014</v>
      </c>
      <c r="R3" s="22" t="s">
        <v>99</v>
      </c>
      <c r="S3" s="23">
        <v>31.455713138881453</v>
      </c>
      <c r="T3" s="23">
        <v>33.111296142103804</v>
      </c>
      <c r="U3" s="23">
        <v>34.321520010780219</v>
      </c>
      <c r="V3" s="23">
        <v>33.413068110285785</v>
      </c>
      <c r="W3" s="23">
        <v>35.500253936008122</v>
      </c>
      <c r="X3" s="23">
        <v>35.020163913100042</v>
      </c>
      <c r="Y3" s="23">
        <v>34.740521645603664</v>
      </c>
      <c r="Z3" s="23">
        <v>32.317148125384143</v>
      </c>
    </row>
    <row r="4" spans="1:26" x14ac:dyDescent="0.2">
      <c r="A4" s="22" t="s">
        <v>99</v>
      </c>
      <c r="B4" s="23">
        <f>(D4/F4) * 100</f>
        <v>33.413068110285785</v>
      </c>
      <c r="C4" s="23">
        <f>(E4/G4)*100</f>
        <v>34.321520010780219</v>
      </c>
      <c r="D4" s="22">
        <v>2.6539999999999999</v>
      </c>
      <c r="E4" s="22">
        <v>2.5470000000000002</v>
      </c>
      <c r="F4" s="22">
        <v>7.9429999999999996</v>
      </c>
      <c r="G4" s="22">
        <v>7.4210000000000003</v>
      </c>
      <c r="I4" s="22" t="s">
        <v>106</v>
      </c>
      <c r="J4" s="23">
        <f>(L4/N4)*100</f>
        <v>89.300972638851022</v>
      </c>
      <c r="K4" s="24">
        <f>(M4*100)/O4</f>
        <v>82.908830226870208</v>
      </c>
      <c r="L4" s="22">
        <v>19.648</v>
      </c>
      <c r="M4" s="22">
        <v>19.661000000000001</v>
      </c>
      <c r="N4" s="22">
        <v>22.001999999999999</v>
      </c>
      <c r="O4" s="22">
        <v>23.713999999999999</v>
      </c>
      <c r="R4" s="22" t="s">
        <v>100</v>
      </c>
      <c r="S4" s="23">
        <v>39.646150012459508</v>
      </c>
      <c r="T4" s="23">
        <v>44.650696099335256</v>
      </c>
      <c r="U4" s="23">
        <v>42.884536364881519</v>
      </c>
      <c r="V4" s="23">
        <v>37.294794443664934</v>
      </c>
      <c r="W4" s="23">
        <v>39.298867821579584</v>
      </c>
      <c r="X4" s="23">
        <v>42.221303568967897</v>
      </c>
      <c r="Y4" s="23">
        <v>40.002601795238718</v>
      </c>
      <c r="Z4" s="23">
        <v>41.116883116883116</v>
      </c>
    </row>
    <row r="5" spans="1:26" x14ac:dyDescent="0.2">
      <c r="A5" s="22" t="s">
        <v>100</v>
      </c>
      <c r="B5" s="23">
        <f t="shared" ref="B5:B25" si="0">(D5/F5) * 100</f>
        <v>37.294794443664934</v>
      </c>
      <c r="C5" s="23">
        <f t="shared" ref="C5:C25" si="1">(E5/G5)*100</f>
        <v>42.884536364881519</v>
      </c>
      <c r="D5" s="22">
        <v>2.6579999999999999</v>
      </c>
      <c r="E5" s="22">
        <v>3.1309999999999998</v>
      </c>
      <c r="F5" s="22">
        <v>7.1269999999999998</v>
      </c>
      <c r="G5" s="22">
        <v>7.3010000000000002</v>
      </c>
      <c r="I5" s="22" t="s">
        <v>118</v>
      </c>
      <c r="J5" s="23">
        <f t="shared" ref="J5:J25" si="2">(L5/N5)*100</f>
        <v>43.328803074327489</v>
      </c>
      <c r="K5" s="24">
        <f t="shared" ref="K5:K25" si="3">(M5*100)/O5</f>
        <v>44.51249330507882</v>
      </c>
      <c r="L5" s="22">
        <v>18.491</v>
      </c>
      <c r="M5" s="22">
        <v>19.114999999999998</v>
      </c>
      <c r="N5" s="22">
        <v>42.676000000000002</v>
      </c>
      <c r="O5" s="22">
        <v>42.942999999999998</v>
      </c>
      <c r="R5" s="22" t="s">
        <v>101</v>
      </c>
      <c r="S5" s="23">
        <v>108.98203592814373</v>
      </c>
      <c r="T5" s="23">
        <v>111.37884872824631</v>
      </c>
      <c r="U5" s="23">
        <v>109.00473933649289</v>
      </c>
      <c r="V5" s="23">
        <v>108.98661567877627</v>
      </c>
      <c r="W5" s="23">
        <v>107.18954248366015</v>
      </c>
      <c r="X5" s="23">
        <v>107.18232044198895</v>
      </c>
      <c r="Y5" s="23">
        <v>107.21062618595825</v>
      </c>
      <c r="Z5" s="23">
        <v>107.20858895705521</v>
      </c>
    </row>
    <row r="6" spans="1:26" x14ac:dyDescent="0.2">
      <c r="A6" s="22" t="s">
        <v>101</v>
      </c>
      <c r="B6" s="23">
        <f t="shared" si="0"/>
        <v>108.98661567877627</v>
      </c>
      <c r="C6" s="23">
        <f t="shared" si="1"/>
        <v>109.00473933649289</v>
      </c>
      <c r="D6" s="22">
        <v>0.56999999999999995</v>
      </c>
      <c r="E6" s="22">
        <v>0.69</v>
      </c>
      <c r="F6" s="22">
        <v>0.52300000000000002</v>
      </c>
      <c r="G6" s="22">
        <v>0.63300000000000001</v>
      </c>
      <c r="I6" s="22" t="s">
        <v>115</v>
      </c>
      <c r="J6" s="23">
        <f t="shared" si="2"/>
        <v>79.481306837318954</v>
      </c>
      <c r="K6" s="24">
        <f t="shared" si="3"/>
        <v>80.328444101340438</v>
      </c>
      <c r="L6" s="22">
        <v>11.798999999999999</v>
      </c>
      <c r="M6" s="22">
        <v>11.446</v>
      </c>
      <c r="N6" s="22">
        <v>14.845000000000001</v>
      </c>
      <c r="O6" s="22">
        <v>14.249000000000001</v>
      </c>
      <c r="R6" s="22" t="s">
        <v>102</v>
      </c>
      <c r="S6" s="23">
        <v>40.981551137381331</v>
      </c>
      <c r="T6" s="23">
        <v>41.119691119691119</v>
      </c>
      <c r="U6" s="23">
        <v>39.550473186119866</v>
      </c>
      <c r="V6" s="23">
        <v>37.072133049700248</v>
      </c>
      <c r="W6" s="23">
        <v>36.082089552238806</v>
      </c>
      <c r="X6" s="23">
        <v>35.841885214747244</v>
      </c>
      <c r="Y6" s="23">
        <v>35.438265786993398</v>
      </c>
      <c r="Z6" s="23">
        <v>36.37162310564463</v>
      </c>
    </row>
    <row r="7" spans="1:26" x14ac:dyDescent="0.2">
      <c r="A7" s="22" t="s">
        <v>102</v>
      </c>
      <c r="B7" s="23">
        <f t="shared" si="0"/>
        <v>37.072133049700248</v>
      </c>
      <c r="C7" s="23">
        <f t="shared" si="1"/>
        <v>39.550473186119866</v>
      </c>
      <c r="D7" s="22">
        <v>1.917</v>
      </c>
      <c r="E7" s="22">
        <v>2.0059999999999998</v>
      </c>
      <c r="F7" s="22">
        <v>5.1710000000000003</v>
      </c>
      <c r="G7" s="22">
        <v>5.0720000000000001</v>
      </c>
      <c r="I7" s="22" t="s">
        <v>104</v>
      </c>
      <c r="J7" s="23">
        <f t="shared" si="2"/>
        <v>49.225840896956754</v>
      </c>
      <c r="K7" s="24">
        <f t="shared" si="3"/>
        <v>46.893390323979432</v>
      </c>
      <c r="L7" s="22">
        <v>7.3760000000000003</v>
      </c>
      <c r="M7" s="22">
        <v>7.57</v>
      </c>
      <c r="N7" s="22">
        <v>14.984</v>
      </c>
      <c r="O7" s="22">
        <v>16.143000000000001</v>
      </c>
      <c r="R7" s="22" t="s">
        <v>103</v>
      </c>
      <c r="S7" s="23">
        <v>41.814991225871147</v>
      </c>
      <c r="T7" s="23">
        <v>41.399851079672374</v>
      </c>
      <c r="U7" s="23">
        <v>45.783453046022885</v>
      </c>
      <c r="V7" s="23">
        <v>48.023883992038677</v>
      </c>
      <c r="W7" s="23">
        <v>51.851851851851855</v>
      </c>
      <c r="X7" s="23">
        <v>53.385155466399191</v>
      </c>
      <c r="Y7" s="23">
        <v>54.401365520604728</v>
      </c>
      <c r="Z7" s="23">
        <v>54.234324256807383</v>
      </c>
    </row>
    <row r="8" spans="1:26" x14ac:dyDescent="0.2">
      <c r="A8" s="22" t="s">
        <v>103</v>
      </c>
      <c r="B8" s="23">
        <f t="shared" si="0"/>
        <v>48.023883992038677</v>
      </c>
      <c r="C8" s="23">
        <f t="shared" si="1"/>
        <v>45.783453046022885</v>
      </c>
      <c r="D8" s="22">
        <v>1.6890000000000001</v>
      </c>
      <c r="E8" s="22">
        <v>1.7210000000000001</v>
      </c>
      <c r="F8" s="22">
        <v>3.5169999999999999</v>
      </c>
      <c r="G8" s="22">
        <v>3.7589999999999999</v>
      </c>
      <c r="I8" s="22" t="s">
        <v>110</v>
      </c>
      <c r="J8" s="23">
        <f t="shared" si="2"/>
        <v>60.93716025222875</v>
      </c>
      <c r="K8" s="24">
        <f t="shared" si="3"/>
        <v>59.476513204019632</v>
      </c>
      <c r="L8" s="22">
        <v>5.6050000000000004</v>
      </c>
      <c r="M8" s="22">
        <v>5.09</v>
      </c>
      <c r="N8" s="22">
        <v>9.1980000000000004</v>
      </c>
      <c r="O8" s="22">
        <v>8.5579999999999998</v>
      </c>
      <c r="R8" s="22" t="s">
        <v>104</v>
      </c>
      <c r="S8" s="23">
        <v>55.560484126481214</v>
      </c>
      <c r="T8" s="23">
        <v>52.620993901647864</v>
      </c>
      <c r="U8" s="23">
        <v>53.097571913639577</v>
      </c>
      <c r="V8" s="23">
        <v>48.874721071087023</v>
      </c>
      <c r="W8" s="23">
        <v>46.893390323979432</v>
      </c>
      <c r="X8" s="23">
        <v>49.225840896956754</v>
      </c>
      <c r="Y8" s="23">
        <v>48.761534725594949</v>
      </c>
      <c r="Z8" s="23">
        <v>46.388494776215659</v>
      </c>
    </row>
    <row r="9" spans="1:26" x14ac:dyDescent="0.2">
      <c r="A9" s="22" t="s">
        <v>104</v>
      </c>
      <c r="B9" s="23">
        <f t="shared" si="0"/>
        <v>48.874721071087023</v>
      </c>
      <c r="C9" s="23">
        <f t="shared" si="1"/>
        <v>53.097571913639577</v>
      </c>
      <c r="D9" s="22">
        <v>7.6660000000000004</v>
      </c>
      <c r="E9" s="22">
        <v>8.2880000000000003</v>
      </c>
      <c r="F9" s="22">
        <v>15.685</v>
      </c>
      <c r="G9" s="22">
        <v>15.609</v>
      </c>
      <c r="I9" s="22" t="s">
        <v>117</v>
      </c>
      <c r="J9" s="23">
        <f t="shared" si="2"/>
        <v>34.033189694691487</v>
      </c>
      <c r="K9" s="24">
        <f t="shared" si="3"/>
        <v>33.523102310231025</v>
      </c>
      <c r="L9" s="22">
        <v>3.7120000000000002</v>
      </c>
      <c r="M9" s="22">
        <v>4.0629999999999997</v>
      </c>
      <c r="N9" s="22">
        <v>10.907</v>
      </c>
      <c r="O9" s="22">
        <v>12.12</v>
      </c>
      <c r="R9" s="22" t="s">
        <v>118</v>
      </c>
      <c r="S9" s="23">
        <v>44.697859271971815</v>
      </c>
      <c r="T9" s="23">
        <v>42.918092630618297</v>
      </c>
      <c r="U9" s="23">
        <v>44.893462412976724</v>
      </c>
      <c r="V9" s="23">
        <v>44.192754132958143</v>
      </c>
      <c r="W9" s="23">
        <v>44.51249330507882</v>
      </c>
      <c r="X9" s="23">
        <v>43.328803074327489</v>
      </c>
      <c r="Y9" s="23">
        <v>43.631178707224336</v>
      </c>
      <c r="Z9" s="23">
        <v>43.938973647711506</v>
      </c>
    </row>
    <row r="10" spans="1:26" x14ac:dyDescent="0.2">
      <c r="A10" s="22" t="s">
        <v>118</v>
      </c>
      <c r="B10" s="23">
        <f t="shared" si="0"/>
        <v>44.192754132958143</v>
      </c>
      <c r="C10" s="23">
        <f t="shared" si="1"/>
        <v>44.893462412976724</v>
      </c>
      <c r="D10" s="22">
        <v>18.846</v>
      </c>
      <c r="E10" s="22">
        <v>19.152000000000001</v>
      </c>
      <c r="F10" s="22">
        <v>42.645000000000003</v>
      </c>
      <c r="G10" s="22">
        <v>42.661000000000001</v>
      </c>
      <c r="I10" s="22" t="s">
        <v>100</v>
      </c>
      <c r="J10" s="23">
        <f t="shared" si="2"/>
        <v>42.221303568967897</v>
      </c>
      <c r="K10" s="24">
        <f t="shared" si="3"/>
        <v>39.298867821579584</v>
      </c>
      <c r="L10" s="22">
        <v>3.0640000000000001</v>
      </c>
      <c r="M10" s="22">
        <v>2.8809999999999998</v>
      </c>
      <c r="N10" s="22">
        <v>7.2569999999999997</v>
      </c>
      <c r="O10" s="22">
        <v>7.3310000000000004</v>
      </c>
      <c r="R10" s="22" t="s">
        <v>119</v>
      </c>
      <c r="S10" s="23">
        <v>116.28982528263103</v>
      </c>
      <c r="T10" s="23">
        <v>117.02361339923118</v>
      </c>
      <c r="U10" s="23">
        <v>116.9206094627105</v>
      </c>
      <c r="V10" s="23">
        <v>114.12322274881517</v>
      </c>
      <c r="W10" s="23">
        <v>117.31898238747554</v>
      </c>
      <c r="X10" s="23">
        <v>117.69230769230768</v>
      </c>
      <c r="Y10" s="23">
        <v>117.35751295336789</v>
      </c>
      <c r="Z10" s="23">
        <v>117.36571008094188</v>
      </c>
    </row>
    <row r="11" spans="1:26" x14ac:dyDescent="0.2">
      <c r="A11" s="22" t="s">
        <v>119</v>
      </c>
      <c r="B11" s="23">
        <f t="shared" si="0"/>
        <v>114.12322274881517</v>
      </c>
      <c r="C11" s="23">
        <f t="shared" si="1"/>
        <v>116.9206094627105</v>
      </c>
      <c r="D11" s="22">
        <v>1.204</v>
      </c>
      <c r="E11" s="22">
        <v>1.458</v>
      </c>
      <c r="F11" s="22">
        <v>1.0549999999999999</v>
      </c>
      <c r="G11" s="22">
        <v>1.2470000000000001</v>
      </c>
      <c r="I11" s="22" t="s">
        <v>99</v>
      </c>
      <c r="J11" s="23">
        <f t="shared" si="2"/>
        <v>35.020163913100042</v>
      </c>
      <c r="K11" s="24">
        <f t="shared" si="3"/>
        <v>35.500253936008122</v>
      </c>
      <c r="L11" s="22">
        <v>2.6920000000000002</v>
      </c>
      <c r="M11" s="22">
        <v>2.7959999999999998</v>
      </c>
      <c r="N11" s="22">
        <v>7.6870000000000003</v>
      </c>
      <c r="O11" s="22">
        <v>7.8760000000000003</v>
      </c>
      <c r="R11" s="22" t="s">
        <v>105</v>
      </c>
      <c r="S11" s="23">
        <v>30.126002290950748</v>
      </c>
      <c r="T11" s="23">
        <v>26.817640047675805</v>
      </c>
      <c r="U11" s="23">
        <v>24.96757457846952</v>
      </c>
      <c r="V11" s="23">
        <v>36.126840317100793</v>
      </c>
      <c r="W11" s="23">
        <v>41.493055555555557</v>
      </c>
      <c r="X11" s="23">
        <v>37.432835820895519</v>
      </c>
      <c r="Y11" s="23">
        <v>43.956043956043963</v>
      </c>
      <c r="Z11" s="23">
        <v>42.030510257759076</v>
      </c>
    </row>
    <row r="12" spans="1:26" x14ac:dyDescent="0.2">
      <c r="A12" s="22" t="s">
        <v>105</v>
      </c>
      <c r="B12" s="23">
        <f t="shared" si="0"/>
        <v>36.126840317100793</v>
      </c>
      <c r="C12" s="23">
        <f t="shared" si="1"/>
        <v>24.96757457846952</v>
      </c>
      <c r="D12" s="22">
        <v>0.31900000000000001</v>
      </c>
      <c r="E12" s="22">
        <v>0.38500000000000001</v>
      </c>
      <c r="F12" s="22">
        <v>0.88300000000000001</v>
      </c>
      <c r="G12" s="22">
        <v>1.542</v>
      </c>
      <c r="I12" s="22" t="s">
        <v>108</v>
      </c>
      <c r="J12" s="23">
        <f t="shared" si="2"/>
        <v>112.64692054536907</v>
      </c>
      <c r="K12" s="24">
        <f t="shared" si="3"/>
        <v>112.6310989512084</v>
      </c>
      <c r="L12" s="22">
        <v>2.3959999999999999</v>
      </c>
      <c r="M12" s="22">
        <v>2.4700000000000002</v>
      </c>
      <c r="N12" s="22">
        <v>2.1269999999999998</v>
      </c>
      <c r="O12" s="22">
        <v>2.1930000000000001</v>
      </c>
      <c r="R12" s="22" t="s">
        <v>106</v>
      </c>
      <c r="S12" s="23">
        <v>78.422427302803413</v>
      </c>
      <c r="T12" s="23">
        <v>79.075728155339803</v>
      </c>
      <c r="U12" s="23">
        <v>76.028176248303183</v>
      </c>
      <c r="V12" s="23">
        <v>82.169285773675909</v>
      </c>
      <c r="W12" s="23">
        <v>82.908830226870208</v>
      </c>
      <c r="X12" s="23">
        <v>89.300972638851022</v>
      </c>
      <c r="Y12" s="23">
        <v>85.226543447567707</v>
      </c>
      <c r="Z12" s="23">
        <v>89.700016619577852</v>
      </c>
    </row>
    <row r="13" spans="1:26" x14ac:dyDescent="0.2">
      <c r="A13" s="22" t="s">
        <v>106</v>
      </c>
      <c r="B13" s="23">
        <f t="shared" si="0"/>
        <v>82.169285773675909</v>
      </c>
      <c r="C13" s="23">
        <f t="shared" si="1"/>
        <v>76.028176248303183</v>
      </c>
      <c r="D13" s="22">
        <v>19.765000000000001</v>
      </c>
      <c r="E13" s="22">
        <v>20.722999999999999</v>
      </c>
      <c r="F13" s="22">
        <v>24.053999999999998</v>
      </c>
      <c r="G13" s="22">
        <v>27.257000000000001</v>
      </c>
      <c r="I13" s="22" t="s">
        <v>111</v>
      </c>
      <c r="J13" s="23">
        <f t="shared" si="2"/>
        <v>106.04422604422604</v>
      </c>
      <c r="K13" s="24">
        <f t="shared" si="3"/>
        <v>106.18357487922705</v>
      </c>
      <c r="L13" s="22">
        <v>2.1579999999999999</v>
      </c>
      <c r="M13" s="22">
        <v>2.198</v>
      </c>
      <c r="N13" s="22">
        <v>2.0350000000000001</v>
      </c>
      <c r="O13" s="22">
        <v>2.0699999999999998</v>
      </c>
      <c r="R13" s="22" t="s">
        <v>107</v>
      </c>
      <c r="S13" s="23">
        <v>45.862068965517246</v>
      </c>
      <c r="T13" s="23">
        <v>71.908396946564878</v>
      </c>
      <c r="U13" s="23">
        <v>112.54658385093168</v>
      </c>
      <c r="V13" s="23">
        <v>123.73737373737373</v>
      </c>
      <c r="W13" s="23"/>
      <c r="X13" s="23"/>
      <c r="Y13" s="23"/>
      <c r="Z13" s="23"/>
    </row>
    <row r="14" spans="1:26" x14ac:dyDescent="0.2">
      <c r="A14" s="22" t="s">
        <v>107</v>
      </c>
      <c r="B14" s="23">
        <f t="shared" si="0"/>
        <v>123.73737373737373</v>
      </c>
      <c r="C14" s="23">
        <f t="shared" si="1"/>
        <v>112.54658385093168</v>
      </c>
      <c r="D14" s="22">
        <v>0.245</v>
      </c>
      <c r="E14" s="22">
        <v>0.90600000000000003</v>
      </c>
      <c r="F14" s="22">
        <v>0.19800000000000001</v>
      </c>
      <c r="G14" s="22">
        <v>0.80500000000000005</v>
      </c>
      <c r="I14" s="22" t="s">
        <v>103</v>
      </c>
      <c r="J14" s="23">
        <f t="shared" si="2"/>
        <v>53.385155466399191</v>
      </c>
      <c r="K14" s="24">
        <f t="shared" si="3"/>
        <v>51.851851851851855</v>
      </c>
      <c r="L14" s="22">
        <v>2.129</v>
      </c>
      <c r="M14" s="22">
        <v>1.974</v>
      </c>
      <c r="N14" s="22">
        <v>3.988</v>
      </c>
      <c r="O14" s="22">
        <v>3.8069999999999999</v>
      </c>
      <c r="R14" s="22" t="s">
        <v>108</v>
      </c>
      <c r="S14" s="23">
        <v>112.01904006346687</v>
      </c>
      <c r="T14" s="23">
        <v>112.00941915227629</v>
      </c>
      <c r="U14" s="23">
        <v>112.05256003624831</v>
      </c>
      <c r="V14" s="23">
        <v>112.77108433734939</v>
      </c>
      <c r="W14" s="23">
        <v>112.6310989512084</v>
      </c>
      <c r="X14" s="23">
        <v>112.64692054536907</v>
      </c>
      <c r="Y14" s="23">
        <v>112.64367816091956</v>
      </c>
      <c r="Z14" s="23">
        <v>112.61510128913443</v>
      </c>
    </row>
    <row r="15" spans="1:26" x14ac:dyDescent="0.2">
      <c r="A15" s="22" t="s">
        <v>108</v>
      </c>
      <c r="B15" s="23">
        <f t="shared" si="0"/>
        <v>112.77108433734939</v>
      </c>
      <c r="C15" s="23">
        <f t="shared" si="1"/>
        <v>112.05256003624831</v>
      </c>
      <c r="D15" s="22">
        <v>2.34</v>
      </c>
      <c r="E15" s="22">
        <v>2.4729999999999999</v>
      </c>
      <c r="F15" s="22">
        <v>2.0750000000000002</v>
      </c>
      <c r="G15" s="22">
        <v>2.2069999999999999</v>
      </c>
      <c r="I15" s="22" t="s">
        <v>116</v>
      </c>
      <c r="J15" s="23">
        <f t="shared" si="2"/>
        <v>48.353909465020585</v>
      </c>
      <c r="K15" s="24">
        <f t="shared" si="3"/>
        <v>46.508041418814727</v>
      </c>
      <c r="L15" s="22">
        <v>2.1150000000000002</v>
      </c>
      <c r="M15" s="22">
        <v>2.1110000000000002</v>
      </c>
      <c r="N15" s="22">
        <v>4.3739999999999997</v>
      </c>
      <c r="O15" s="22">
        <v>4.5389999999999997</v>
      </c>
      <c r="R15" s="22" t="s">
        <v>109</v>
      </c>
      <c r="S15" s="23">
        <v>25.443275191004755</v>
      </c>
      <c r="T15" s="23">
        <v>26.597504134716583</v>
      </c>
      <c r="U15" s="23">
        <v>24.349469399622041</v>
      </c>
      <c r="V15" s="23">
        <v>25.219722925666616</v>
      </c>
      <c r="W15" s="23">
        <v>25.143595634692701</v>
      </c>
      <c r="X15" s="23">
        <v>24.746247319513941</v>
      </c>
      <c r="Y15" s="23">
        <v>22.885644065346249</v>
      </c>
      <c r="Z15" s="23">
        <v>20.233003981713615</v>
      </c>
    </row>
    <row r="16" spans="1:26" x14ac:dyDescent="0.2">
      <c r="A16" s="22" t="s">
        <v>109</v>
      </c>
      <c r="B16" s="23">
        <f t="shared" si="0"/>
        <v>25.219722925666616</v>
      </c>
      <c r="C16" s="23">
        <f t="shared" si="1"/>
        <v>24.349469399622041</v>
      </c>
      <c r="D16" s="22">
        <v>1.6930000000000001</v>
      </c>
      <c r="E16" s="22">
        <v>1.675</v>
      </c>
      <c r="F16" s="22">
        <v>6.7130000000000001</v>
      </c>
      <c r="G16" s="22">
        <v>6.8789999999999996</v>
      </c>
      <c r="I16" s="22" t="s">
        <v>102</v>
      </c>
      <c r="J16" s="23">
        <f t="shared" si="2"/>
        <v>35.841885214747244</v>
      </c>
      <c r="K16" s="24">
        <f t="shared" si="3"/>
        <v>36.082089552238806</v>
      </c>
      <c r="L16" s="22">
        <v>1.8859999999999999</v>
      </c>
      <c r="M16" s="22">
        <v>1.9339999999999999</v>
      </c>
      <c r="N16" s="22">
        <v>5.2619999999999996</v>
      </c>
      <c r="O16" s="22">
        <v>5.36</v>
      </c>
      <c r="R16" s="22" t="s">
        <v>110</v>
      </c>
      <c r="S16" s="23">
        <v>68.025971067319745</v>
      </c>
      <c r="T16" s="23">
        <v>68.059552108094593</v>
      </c>
      <c r="U16" s="23">
        <v>67.22900215362526</v>
      </c>
      <c r="V16" s="23">
        <v>63.320754716981128</v>
      </c>
      <c r="W16" s="23">
        <v>59.476513204019632</v>
      </c>
      <c r="X16" s="23">
        <v>60.93716025222875</v>
      </c>
      <c r="Y16" s="23">
        <v>61.893122986334845</v>
      </c>
      <c r="Z16" s="23">
        <v>63.272023233301056</v>
      </c>
    </row>
    <row r="17" spans="1:26" x14ac:dyDescent="0.2">
      <c r="A17" s="22" t="s">
        <v>110</v>
      </c>
      <c r="B17" s="23">
        <f t="shared" si="0"/>
        <v>63.320754716981128</v>
      </c>
      <c r="C17" s="23">
        <f t="shared" si="1"/>
        <v>67.22900215362526</v>
      </c>
      <c r="D17" s="22">
        <v>5.0339999999999998</v>
      </c>
      <c r="E17" s="22">
        <v>5.6189999999999998</v>
      </c>
      <c r="F17" s="22">
        <v>7.95</v>
      </c>
      <c r="G17" s="22">
        <v>8.3580000000000005</v>
      </c>
      <c r="I17" s="22" t="s">
        <v>112</v>
      </c>
      <c r="J17" s="23">
        <f t="shared" si="2"/>
        <v>54.653937947494036</v>
      </c>
      <c r="K17" s="24">
        <f t="shared" si="3"/>
        <v>60.006333122229258</v>
      </c>
      <c r="L17" s="22">
        <v>1.8320000000000001</v>
      </c>
      <c r="M17" s="22">
        <v>1.895</v>
      </c>
      <c r="N17" s="22">
        <v>3.3519999999999999</v>
      </c>
      <c r="O17" s="22">
        <v>3.1579999999999999</v>
      </c>
      <c r="R17" s="22" t="s">
        <v>111</v>
      </c>
      <c r="S17" s="23">
        <v>129.91452991452991</v>
      </c>
      <c r="T17" s="23">
        <v>112.50925240562546</v>
      </c>
      <c r="U17" s="23">
        <v>112.44897959183675</v>
      </c>
      <c r="V17" s="23">
        <v>109.1219512195122</v>
      </c>
      <c r="W17" s="23">
        <v>106.18357487922705</v>
      </c>
      <c r="X17" s="23">
        <v>106.04422604422604</v>
      </c>
      <c r="Y17" s="23">
        <v>106.46766169154232</v>
      </c>
      <c r="Z17" s="23">
        <v>106.06936416184971</v>
      </c>
    </row>
    <row r="18" spans="1:26" x14ac:dyDescent="0.2">
      <c r="A18" s="22" t="s">
        <v>111</v>
      </c>
      <c r="B18" s="23">
        <f t="shared" si="0"/>
        <v>109.1219512195122</v>
      </c>
      <c r="C18" s="23">
        <f t="shared" si="1"/>
        <v>112.44897959183675</v>
      </c>
      <c r="D18" s="22">
        <v>2.2370000000000001</v>
      </c>
      <c r="E18" s="22">
        <v>2.2040000000000002</v>
      </c>
      <c r="F18" s="22">
        <v>2.0499999999999998</v>
      </c>
      <c r="G18" s="22">
        <v>1.96</v>
      </c>
      <c r="I18" s="22" t="s">
        <v>109</v>
      </c>
      <c r="J18" s="23">
        <f t="shared" si="2"/>
        <v>24.746247319513941</v>
      </c>
      <c r="K18" s="24">
        <f t="shared" si="3"/>
        <v>25.143595634692701</v>
      </c>
      <c r="L18" s="22">
        <v>1.7310000000000001</v>
      </c>
      <c r="M18" s="22">
        <v>1.7509999999999999</v>
      </c>
      <c r="N18" s="22">
        <v>6.9950000000000001</v>
      </c>
      <c r="O18" s="22">
        <v>6.9640000000000004</v>
      </c>
      <c r="R18" s="22" t="s">
        <v>112</v>
      </c>
      <c r="S18" s="23">
        <v>60.835509138381205</v>
      </c>
      <c r="T18" s="23">
        <v>58.559527008868571</v>
      </c>
      <c r="U18" s="23">
        <v>60.388821385176186</v>
      </c>
      <c r="V18" s="23">
        <v>51.691792294807371</v>
      </c>
      <c r="W18" s="23">
        <v>60.006333122229258</v>
      </c>
      <c r="X18" s="23">
        <v>54.653937947494036</v>
      </c>
      <c r="Y18" s="23">
        <v>53.846153846153854</v>
      </c>
      <c r="Z18" s="23">
        <v>59.595358524248731</v>
      </c>
    </row>
    <row r="19" spans="1:26" x14ac:dyDescent="0.2">
      <c r="A19" s="22" t="s">
        <v>112</v>
      </c>
      <c r="B19" s="23">
        <f t="shared" si="0"/>
        <v>51.691792294807371</v>
      </c>
      <c r="C19" s="23">
        <f t="shared" si="1"/>
        <v>60.388821385176186</v>
      </c>
      <c r="D19" s="22">
        <v>1.5429999999999999</v>
      </c>
      <c r="E19" s="22">
        <v>1.988</v>
      </c>
      <c r="F19" s="22">
        <v>2.9849999999999999</v>
      </c>
      <c r="G19" s="22">
        <v>3.2919999999999998</v>
      </c>
      <c r="I19" s="22" t="s">
        <v>113</v>
      </c>
      <c r="J19" s="23">
        <f t="shared" si="2"/>
        <v>29.482683033757123</v>
      </c>
      <c r="K19" s="24">
        <f t="shared" si="3"/>
        <v>29.968119022316685</v>
      </c>
      <c r="L19" s="22">
        <v>1.345</v>
      </c>
      <c r="M19" s="22">
        <v>1.41</v>
      </c>
      <c r="N19" s="22">
        <v>4.5620000000000003</v>
      </c>
      <c r="O19" s="22">
        <v>4.7050000000000001</v>
      </c>
      <c r="R19" s="22" t="s">
        <v>113</v>
      </c>
      <c r="S19" s="23">
        <v>33.600944510035418</v>
      </c>
      <c r="T19" s="23">
        <v>32.075060004363955</v>
      </c>
      <c r="U19" s="23">
        <v>30.524642289348176</v>
      </c>
      <c r="V19" s="23">
        <v>32.010640656173791</v>
      </c>
      <c r="W19" s="23">
        <v>29.968119022316685</v>
      </c>
      <c r="X19" s="23">
        <v>29.482683033757123</v>
      </c>
      <c r="Y19" s="23">
        <v>28.681364392678869</v>
      </c>
      <c r="Z19" s="23">
        <v>29.613992762364294</v>
      </c>
    </row>
    <row r="20" spans="1:26" x14ac:dyDescent="0.2">
      <c r="A20" s="22" t="s">
        <v>113</v>
      </c>
      <c r="B20" s="23">
        <f t="shared" si="0"/>
        <v>32.010640656173791</v>
      </c>
      <c r="C20" s="23">
        <f t="shared" si="1"/>
        <v>30.524642289348176</v>
      </c>
      <c r="D20" s="22">
        <v>1.444</v>
      </c>
      <c r="E20" s="22">
        <v>1.3440000000000001</v>
      </c>
      <c r="F20" s="22">
        <v>4.5110000000000001</v>
      </c>
      <c r="G20" s="22">
        <v>4.4029999999999996</v>
      </c>
      <c r="I20" s="22" t="s">
        <v>119</v>
      </c>
      <c r="J20" s="23">
        <f t="shared" si="2"/>
        <v>117.69230769230768</v>
      </c>
      <c r="K20" s="24">
        <f t="shared" si="3"/>
        <v>117.31898238747554</v>
      </c>
      <c r="L20" s="22">
        <v>1.071</v>
      </c>
      <c r="M20" s="22">
        <v>1.1990000000000001</v>
      </c>
      <c r="N20" s="22">
        <v>0.91</v>
      </c>
      <c r="O20" s="22">
        <v>1.022</v>
      </c>
      <c r="R20" s="22" t="s">
        <v>114</v>
      </c>
      <c r="S20" s="23">
        <v>113.27160493827159</v>
      </c>
      <c r="T20" s="23">
        <v>110.23102310231023</v>
      </c>
      <c r="U20" s="23">
        <v>116.13924050632912</v>
      </c>
      <c r="V20" s="23">
        <v>116.8284789644013</v>
      </c>
      <c r="W20" s="23">
        <v>111.54471544715449</v>
      </c>
      <c r="X20" s="23">
        <v>110.9271523178808</v>
      </c>
      <c r="Y20" s="23">
        <v>112.56117455138661</v>
      </c>
      <c r="Z20" s="23">
        <v>111.26543209876543</v>
      </c>
    </row>
    <row r="21" spans="1:26" x14ac:dyDescent="0.2">
      <c r="A21" s="22" t="s">
        <v>114</v>
      </c>
      <c r="B21" s="23">
        <f t="shared" si="0"/>
        <v>116.8284789644013</v>
      </c>
      <c r="C21" s="23">
        <f t="shared" si="1"/>
        <v>116.13924050632912</v>
      </c>
      <c r="D21" s="22">
        <v>0.72199999999999998</v>
      </c>
      <c r="E21" s="22">
        <v>0.73399999999999999</v>
      </c>
      <c r="F21" s="22">
        <v>0.61799999999999999</v>
      </c>
      <c r="G21" s="22">
        <v>0.63200000000000001</v>
      </c>
      <c r="I21" s="22" t="s">
        <v>114</v>
      </c>
      <c r="J21" s="23">
        <f t="shared" si="2"/>
        <v>110.9271523178808</v>
      </c>
      <c r="K21" s="24">
        <f t="shared" si="3"/>
        <v>111.54471544715449</v>
      </c>
      <c r="L21" s="22">
        <v>0.67</v>
      </c>
      <c r="M21" s="22">
        <v>0.68600000000000005</v>
      </c>
      <c r="N21" s="22">
        <v>0.60399999999999998</v>
      </c>
      <c r="O21" s="22">
        <v>0.61499999999999999</v>
      </c>
      <c r="R21" s="22" t="s">
        <v>115</v>
      </c>
      <c r="S21" s="23">
        <v>84.616873065015483</v>
      </c>
      <c r="T21" s="23">
        <v>85.883864651532761</v>
      </c>
      <c r="U21" s="23">
        <v>84.177725639709649</v>
      </c>
      <c r="V21" s="23">
        <v>81.562386980108499</v>
      </c>
      <c r="W21" s="23">
        <v>80.328444101340438</v>
      </c>
      <c r="X21" s="23">
        <v>79.481306837318954</v>
      </c>
      <c r="Y21" s="23">
        <v>77.078437132784956</v>
      </c>
      <c r="Z21" s="23">
        <v>76.585298388769786</v>
      </c>
    </row>
    <row r="22" spans="1:26" x14ac:dyDescent="0.2">
      <c r="A22" s="22" t="s">
        <v>115</v>
      </c>
      <c r="B22" s="23">
        <f t="shared" si="0"/>
        <v>81.562386980108499</v>
      </c>
      <c r="C22" s="23">
        <f t="shared" si="1"/>
        <v>84.177725639709649</v>
      </c>
      <c r="D22" s="22">
        <v>11.276</v>
      </c>
      <c r="E22" s="22">
        <v>11.481</v>
      </c>
      <c r="F22" s="22">
        <v>13.824999999999999</v>
      </c>
      <c r="G22" s="22">
        <v>13.638999999999999</v>
      </c>
      <c r="I22" s="22" t="s">
        <v>105</v>
      </c>
      <c r="J22" s="23">
        <f t="shared" si="2"/>
        <v>37.432835820895519</v>
      </c>
      <c r="K22" s="24">
        <f t="shared" si="3"/>
        <v>41.493055555555557</v>
      </c>
      <c r="L22" s="22">
        <v>0.627</v>
      </c>
      <c r="M22" s="22">
        <v>0.47799999999999998</v>
      </c>
      <c r="N22" s="22">
        <v>1.675</v>
      </c>
      <c r="O22" s="22">
        <v>1.1519999999999999</v>
      </c>
      <c r="R22" s="22" t="s">
        <v>116</v>
      </c>
      <c r="S22" s="23">
        <v>48.263817546743375</v>
      </c>
      <c r="T22" s="23">
        <v>45.561519405450035</v>
      </c>
      <c r="U22" s="23">
        <v>46.971798428109111</v>
      </c>
      <c r="V22" s="23">
        <v>46.230699364214352</v>
      </c>
      <c r="W22" s="23">
        <v>46.508041418814727</v>
      </c>
      <c r="X22" s="23">
        <v>48.353909465020585</v>
      </c>
      <c r="Y22" s="23">
        <v>47.325102880658434</v>
      </c>
      <c r="Z22" s="23">
        <v>49.161892637385954</v>
      </c>
    </row>
    <row r="23" spans="1:26" x14ac:dyDescent="0.2">
      <c r="A23" s="22" t="s">
        <v>116</v>
      </c>
      <c r="B23" s="23">
        <f t="shared" si="0"/>
        <v>46.230699364214352</v>
      </c>
      <c r="C23" s="23">
        <f t="shared" si="1"/>
        <v>46.971798428109111</v>
      </c>
      <c r="D23" s="22">
        <v>2.036</v>
      </c>
      <c r="E23" s="22">
        <v>2.032</v>
      </c>
      <c r="F23" s="22">
        <v>4.4039999999999999</v>
      </c>
      <c r="G23" s="22">
        <v>4.3259999999999996</v>
      </c>
      <c r="I23" s="22" t="s">
        <v>101</v>
      </c>
      <c r="J23" s="23">
        <f t="shared" si="2"/>
        <v>107.18232044198895</v>
      </c>
      <c r="K23" s="24">
        <f t="shared" si="3"/>
        <v>107.18954248366015</v>
      </c>
      <c r="L23" s="22">
        <v>0.58199999999999996</v>
      </c>
      <c r="M23" s="22">
        <v>0.65600000000000003</v>
      </c>
      <c r="N23" s="22">
        <v>0.54300000000000004</v>
      </c>
      <c r="O23" s="22">
        <v>0.61199999999999999</v>
      </c>
      <c r="R23" s="22" t="s">
        <v>117</v>
      </c>
      <c r="S23" s="23">
        <v>38.221673355974062</v>
      </c>
      <c r="T23" s="23">
        <v>41.042414011394811</v>
      </c>
      <c r="U23" s="23">
        <v>38.35473431464662</v>
      </c>
      <c r="V23" s="23">
        <v>34.095125653567209</v>
      </c>
      <c r="W23" s="23">
        <v>33.523102310231025</v>
      </c>
      <c r="X23" s="23">
        <v>34.033189694691487</v>
      </c>
      <c r="Y23" s="23">
        <v>33.477406679764243</v>
      </c>
      <c r="Z23" s="23">
        <v>35.976505139500738</v>
      </c>
    </row>
    <row r="24" spans="1:26" x14ac:dyDescent="0.2">
      <c r="A24" s="22" t="s">
        <v>117</v>
      </c>
      <c r="B24" s="23">
        <f t="shared" si="0"/>
        <v>34.095125653567209</v>
      </c>
      <c r="C24" s="23">
        <f t="shared" si="1"/>
        <v>38.35473431464662</v>
      </c>
      <c r="D24" s="22">
        <v>4.0430000000000001</v>
      </c>
      <c r="E24" s="22">
        <v>3.6739999999999999</v>
      </c>
      <c r="F24" s="22">
        <v>11.858000000000001</v>
      </c>
      <c r="G24" s="22">
        <v>9.5790000000000006</v>
      </c>
      <c r="I24" s="22" t="s">
        <v>120</v>
      </c>
      <c r="J24" s="23">
        <f t="shared" si="2"/>
        <v>106.55737704918033</v>
      </c>
      <c r="K24" s="24">
        <f t="shared" si="3"/>
        <v>107.18562874251495</v>
      </c>
      <c r="L24" s="22">
        <v>0.13</v>
      </c>
      <c r="M24" s="22">
        <v>0.17899999999999999</v>
      </c>
      <c r="N24" s="22">
        <v>0.122</v>
      </c>
      <c r="O24" s="22">
        <v>0.16700000000000001</v>
      </c>
      <c r="R24" s="22" t="s">
        <v>120</v>
      </c>
      <c r="S24" s="23"/>
      <c r="T24" s="23"/>
      <c r="U24" s="23"/>
      <c r="V24" s="23"/>
      <c r="W24" s="23">
        <v>107.18562874251495</v>
      </c>
      <c r="X24" s="23">
        <v>106.55737704918033</v>
      </c>
      <c r="Y24" s="23"/>
      <c r="Z24" s="23"/>
    </row>
    <row r="25" spans="1:26" x14ac:dyDescent="0.2">
      <c r="A25" s="22" t="s">
        <v>122</v>
      </c>
      <c r="B25" s="23">
        <f t="shared" si="0"/>
        <v>54.229149826876913</v>
      </c>
      <c r="C25" s="23">
        <f t="shared" si="1"/>
        <v>55.893727830306197</v>
      </c>
      <c r="D25" s="22">
        <v>89.9</v>
      </c>
      <c r="E25" s="22">
        <v>94.228999999999999</v>
      </c>
      <c r="F25" s="22">
        <v>165.77799999999999</v>
      </c>
      <c r="G25" s="22">
        <v>168.58600000000001</v>
      </c>
      <c r="I25" s="22" t="s">
        <v>122</v>
      </c>
      <c r="J25" s="23">
        <f t="shared" si="2"/>
        <v>54.81866782256899</v>
      </c>
      <c r="K25" s="24">
        <f t="shared" si="3"/>
        <v>54.08355532454032</v>
      </c>
      <c r="L25" s="22">
        <v>91.055999999999997</v>
      </c>
      <c r="M25" s="22">
        <v>91.563999999999993</v>
      </c>
      <c r="N25" s="22">
        <v>166.10400000000001</v>
      </c>
      <c r="O25" s="22">
        <v>169.30099999999999</v>
      </c>
      <c r="R25" s="22" t="s">
        <v>122</v>
      </c>
      <c r="S25" s="23">
        <v>56.862169757022428</v>
      </c>
      <c r="T25" s="23">
        <v>55.87870713623726</v>
      </c>
      <c r="U25" s="23">
        <v>55.893727830306197</v>
      </c>
      <c r="V25" s="23">
        <v>54.229149826876913</v>
      </c>
      <c r="W25" s="23">
        <v>54.08355532454032</v>
      </c>
      <c r="X25" s="23">
        <v>54.81866782256899</v>
      </c>
      <c r="Y25" s="23">
        <v>54.543771293141752</v>
      </c>
      <c r="Z25" s="23">
        <v>55.516236469608657</v>
      </c>
    </row>
    <row r="28" spans="1:26" x14ac:dyDescent="0.2">
      <c r="A28" s="22"/>
      <c r="B28" s="28" t="s">
        <v>121</v>
      </c>
      <c r="C28" s="28"/>
      <c r="D28" s="28" t="s">
        <v>97</v>
      </c>
      <c r="E28" s="28"/>
      <c r="F28" s="28" t="s">
        <v>98</v>
      </c>
      <c r="G28" s="28"/>
      <c r="I28" s="22"/>
      <c r="J28" s="28" t="s">
        <v>121</v>
      </c>
      <c r="K28" s="28"/>
      <c r="L28" s="22" t="s">
        <v>97</v>
      </c>
      <c r="M28" s="22"/>
      <c r="N28" s="29" t="s">
        <v>98</v>
      </c>
      <c r="O28" s="30"/>
    </row>
    <row r="29" spans="1:26" x14ac:dyDescent="0.2">
      <c r="A29" s="22"/>
      <c r="B29" s="22">
        <v>2017</v>
      </c>
      <c r="C29" s="22">
        <v>2016</v>
      </c>
      <c r="D29" s="22">
        <v>2017</v>
      </c>
      <c r="E29" s="22">
        <v>2016</v>
      </c>
      <c r="F29" s="22">
        <v>2017</v>
      </c>
      <c r="G29" s="22">
        <v>2016</v>
      </c>
      <c r="I29" s="22"/>
      <c r="J29" s="22">
        <v>2010</v>
      </c>
      <c r="K29" s="22">
        <v>2011</v>
      </c>
      <c r="L29" s="22">
        <v>2010</v>
      </c>
      <c r="M29" s="22">
        <v>2011</v>
      </c>
      <c r="N29" s="22">
        <v>2010</v>
      </c>
      <c r="O29" s="22">
        <v>2011</v>
      </c>
    </row>
    <row r="30" spans="1:26" x14ac:dyDescent="0.2">
      <c r="A30" s="22" t="s">
        <v>106</v>
      </c>
      <c r="B30" s="23">
        <f>(D30/F30) * 100</f>
        <v>89.700016619577852</v>
      </c>
      <c r="C30" s="23">
        <f>(E30/G30)*100</f>
        <v>85.226543447567707</v>
      </c>
      <c r="D30" s="22">
        <v>21.588999999999999</v>
      </c>
      <c r="E30" s="22">
        <v>19.920000000000002</v>
      </c>
      <c r="F30" s="22">
        <v>24.068000000000001</v>
      </c>
      <c r="G30" s="22">
        <v>23.373000000000001</v>
      </c>
      <c r="I30" s="22" t="s">
        <v>99</v>
      </c>
      <c r="J30" s="23">
        <f>(L30/N30) * 100</f>
        <v>33.111296142103804</v>
      </c>
      <c r="K30" s="23">
        <f>(M30/O30)*100</f>
        <v>31.455713138881453</v>
      </c>
      <c r="L30" s="22">
        <v>2.3860000000000001</v>
      </c>
      <c r="M30" s="22">
        <v>2.351</v>
      </c>
      <c r="N30" s="22">
        <v>7.2060000000000004</v>
      </c>
      <c r="O30" s="22">
        <v>7.4740000000000002</v>
      </c>
    </row>
    <row r="31" spans="1:26" x14ac:dyDescent="0.2">
      <c r="A31" s="22" t="s">
        <v>118</v>
      </c>
      <c r="B31" s="23">
        <f t="shared" ref="B31:B51" si="4">(D31/F31) * 100</f>
        <v>43.938973647711506</v>
      </c>
      <c r="C31" s="23">
        <f t="shared" ref="C31:C51" si="5">(E31/G31)*100</f>
        <v>43.631178707224336</v>
      </c>
      <c r="D31" s="22">
        <v>19.007999999999999</v>
      </c>
      <c r="E31" s="22">
        <v>18.36</v>
      </c>
      <c r="F31" s="22">
        <v>43.26</v>
      </c>
      <c r="G31" s="22">
        <v>42.08</v>
      </c>
      <c r="I31" s="22" t="s">
        <v>100</v>
      </c>
      <c r="J31" s="23">
        <f t="shared" ref="J31:J48" si="6">(L31/N31) * 100</f>
        <v>44.650696099335256</v>
      </c>
      <c r="K31" s="23">
        <f t="shared" ref="K31:K50" si="7">(M31/O31)*100</f>
        <v>39.646150012459508</v>
      </c>
      <c r="L31" s="22">
        <v>3.56</v>
      </c>
      <c r="M31" s="22">
        <v>3.1819999999999999</v>
      </c>
      <c r="N31" s="22">
        <v>7.9729999999999999</v>
      </c>
      <c r="O31" s="22">
        <v>8.0259999999999998</v>
      </c>
    </row>
    <row r="32" spans="1:26" x14ac:dyDescent="0.2">
      <c r="A32" s="22" t="s">
        <v>115</v>
      </c>
      <c r="B32" s="23">
        <f t="shared" si="4"/>
        <v>76.585298388769786</v>
      </c>
      <c r="C32" s="23">
        <f t="shared" si="5"/>
        <v>77.078437132784956</v>
      </c>
      <c r="D32" s="22">
        <v>11.074999999999999</v>
      </c>
      <c r="E32" s="22">
        <v>10.494999999999999</v>
      </c>
      <c r="F32" s="22">
        <v>14.461</v>
      </c>
      <c r="G32" s="22">
        <v>13.616</v>
      </c>
      <c r="I32" s="22" t="s">
        <v>101</v>
      </c>
      <c r="J32" s="23">
        <f t="shared" si="6"/>
        <v>111.37884872824631</v>
      </c>
      <c r="K32" s="23">
        <f t="shared" si="7"/>
        <v>108.98203592814373</v>
      </c>
      <c r="L32" s="22">
        <v>0.83199999999999996</v>
      </c>
      <c r="M32" s="22">
        <v>0.91</v>
      </c>
      <c r="N32" s="22">
        <v>0.747</v>
      </c>
      <c r="O32" s="22">
        <v>0.83499999999999996</v>
      </c>
    </row>
    <row r="33" spans="1:15" x14ac:dyDescent="0.2">
      <c r="A33" s="22" t="s">
        <v>104</v>
      </c>
      <c r="B33" s="23">
        <f t="shared" si="4"/>
        <v>46.388494776215659</v>
      </c>
      <c r="C33" s="23">
        <f t="shared" si="5"/>
        <v>48.761534725594949</v>
      </c>
      <c r="D33" s="22">
        <v>7.1929999999999996</v>
      </c>
      <c r="E33" s="22">
        <v>7.0279999999999996</v>
      </c>
      <c r="F33" s="22">
        <v>15.506</v>
      </c>
      <c r="G33" s="22">
        <v>14.413</v>
      </c>
      <c r="I33" s="22" t="s">
        <v>102</v>
      </c>
      <c r="J33" s="23">
        <f t="shared" si="6"/>
        <v>41.119691119691119</v>
      </c>
      <c r="K33" s="23">
        <f t="shared" si="7"/>
        <v>40.981551137381331</v>
      </c>
      <c r="L33" s="22">
        <v>2.13</v>
      </c>
      <c r="M33" s="22">
        <v>2.2879999999999998</v>
      </c>
      <c r="N33" s="22">
        <v>5.18</v>
      </c>
      <c r="O33" s="22">
        <v>5.5830000000000002</v>
      </c>
    </row>
    <row r="34" spans="1:15" x14ac:dyDescent="0.2">
      <c r="A34" s="22" t="s">
        <v>110</v>
      </c>
      <c r="B34" s="23">
        <f t="shared" si="4"/>
        <v>63.272023233301056</v>
      </c>
      <c r="C34" s="23">
        <f t="shared" si="5"/>
        <v>61.893122986334845</v>
      </c>
      <c r="D34" s="22">
        <v>6.5359999999999996</v>
      </c>
      <c r="E34" s="22">
        <v>5.5709999999999997</v>
      </c>
      <c r="F34" s="22">
        <v>10.33</v>
      </c>
      <c r="G34" s="22">
        <v>9.0009999999999994</v>
      </c>
      <c r="I34" s="22" t="s">
        <v>103</v>
      </c>
      <c r="J34" s="23">
        <f t="shared" si="6"/>
        <v>41.399851079672374</v>
      </c>
      <c r="K34" s="23">
        <f t="shared" si="7"/>
        <v>41.814991225871147</v>
      </c>
      <c r="L34" s="22">
        <v>1.6679999999999999</v>
      </c>
      <c r="M34" s="22">
        <v>1.6679999999999999</v>
      </c>
      <c r="N34" s="22">
        <v>4.0289999999999999</v>
      </c>
      <c r="O34" s="22">
        <v>3.9889999999999999</v>
      </c>
    </row>
    <row r="35" spans="1:15" x14ac:dyDescent="0.2">
      <c r="A35" s="22" t="s">
        <v>100</v>
      </c>
      <c r="B35" s="23">
        <f t="shared" si="4"/>
        <v>41.116883116883116</v>
      </c>
      <c r="C35" s="23">
        <f t="shared" si="5"/>
        <v>40.002601795238718</v>
      </c>
      <c r="D35" s="22">
        <v>3.1659999999999999</v>
      </c>
      <c r="E35" s="22">
        <v>3.0750000000000002</v>
      </c>
      <c r="F35" s="22">
        <v>7.7</v>
      </c>
      <c r="G35" s="22">
        <v>7.6870000000000003</v>
      </c>
      <c r="I35" s="22" t="s">
        <v>104</v>
      </c>
      <c r="J35" s="23">
        <f t="shared" si="6"/>
        <v>52.620993901647864</v>
      </c>
      <c r="K35" s="23">
        <f t="shared" si="7"/>
        <v>55.560484126481214</v>
      </c>
      <c r="L35" s="22">
        <v>8.1110000000000007</v>
      </c>
      <c r="M35" s="22">
        <v>8.7680000000000007</v>
      </c>
      <c r="N35" s="22">
        <v>15.414</v>
      </c>
      <c r="O35" s="22">
        <v>15.781000000000001</v>
      </c>
    </row>
    <row r="36" spans="1:15" x14ac:dyDescent="0.2">
      <c r="A36" s="22" t="s">
        <v>117</v>
      </c>
      <c r="B36" s="23">
        <f t="shared" si="4"/>
        <v>35.976505139500738</v>
      </c>
      <c r="C36" s="23">
        <f t="shared" si="5"/>
        <v>33.477406679764243</v>
      </c>
      <c r="D36" s="22">
        <v>2.6949999999999998</v>
      </c>
      <c r="E36" s="22">
        <v>2.556</v>
      </c>
      <c r="F36" s="22">
        <v>7.4909999999999997</v>
      </c>
      <c r="G36" s="22">
        <v>7.6349999999999998</v>
      </c>
      <c r="I36" s="22" t="s">
        <v>118</v>
      </c>
      <c r="J36" s="23">
        <f t="shared" si="6"/>
        <v>42.918092630618297</v>
      </c>
      <c r="K36" s="23">
        <f t="shared" si="7"/>
        <v>44.697859271971815</v>
      </c>
      <c r="L36" s="22">
        <v>18.811</v>
      </c>
      <c r="M36" s="22">
        <v>19.794</v>
      </c>
      <c r="N36" s="22">
        <v>43.83</v>
      </c>
      <c r="O36" s="22">
        <v>44.283999999999999</v>
      </c>
    </row>
    <row r="37" spans="1:15" x14ac:dyDescent="0.2">
      <c r="A37" s="22" t="s">
        <v>99</v>
      </c>
      <c r="B37" s="23">
        <f t="shared" si="4"/>
        <v>32.317148125384143</v>
      </c>
      <c r="C37" s="23">
        <f t="shared" si="5"/>
        <v>34.740521645603664</v>
      </c>
      <c r="D37" s="22">
        <v>2.629</v>
      </c>
      <c r="E37" s="22">
        <v>2.5840000000000001</v>
      </c>
      <c r="F37" s="22">
        <v>8.1349999999999998</v>
      </c>
      <c r="G37" s="22">
        <v>7.4379999999999997</v>
      </c>
      <c r="I37" s="22" t="s">
        <v>119</v>
      </c>
      <c r="J37" s="23">
        <f t="shared" si="6"/>
        <v>117.02361339923118</v>
      </c>
      <c r="K37" s="23">
        <f t="shared" si="7"/>
        <v>116.28982528263103</v>
      </c>
      <c r="L37" s="22">
        <v>2.1309999999999998</v>
      </c>
      <c r="M37" s="22">
        <v>2.2629999999999999</v>
      </c>
      <c r="N37" s="22">
        <v>1.821</v>
      </c>
      <c r="O37" s="22">
        <v>1.946</v>
      </c>
    </row>
    <row r="38" spans="1:15" x14ac:dyDescent="0.2">
      <c r="A38" s="22" t="s">
        <v>108</v>
      </c>
      <c r="B38" s="23">
        <f t="shared" si="4"/>
        <v>112.61510128913443</v>
      </c>
      <c r="C38" s="23">
        <f t="shared" si="5"/>
        <v>112.64367816091956</v>
      </c>
      <c r="D38" s="22">
        <v>2.4460000000000002</v>
      </c>
      <c r="E38" s="22">
        <v>2.4500000000000002</v>
      </c>
      <c r="F38" s="22">
        <v>2.1720000000000002</v>
      </c>
      <c r="G38" s="22">
        <v>2.1749999999999998</v>
      </c>
      <c r="I38" s="22" t="s">
        <v>105</v>
      </c>
      <c r="J38" s="23">
        <f t="shared" si="6"/>
        <v>26.817640047675805</v>
      </c>
      <c r="K38" s="23">
        <f t="shared" si="7"/>
        <v>30.126002290950748</v>
      </c>
      <c r="L38" s="22">
        <v>0.45</v>
      </c>
      <c r="M38" s="22">
        <v>0.52600000000000002</v>
      </c>
      <c r="N38" s="22">
        <v>1.6779999999999999</v>
      </c>
      <c r="O38" s="22">
        <v>1.746</v>
      </c>
    </row>
    <row r="39" spans="1:15" x14ac:dyDescent="0.2">
      <c r="A39" s="22" t="s">
        <v>116</v>
      </c>
      <c r="B39" s="23">
        <f t="shared" si="4"/>
        <v>49.161892637385954</v>
      </c>
      <c r="C39" s="23">
        <f t="shared" si="5"/>
        <v>47.325102880658434</v>
      </c>
      <c r="D39" s="22">
        <v>2.3170000000000002</v>
      </c>
      <c r="E39" s="22">
        <v>2.1850000000000001</v>
      </c>
      <c r="F39" s="22">
        <v>4.7130000000000001</v>
      </c>
      <c r="G39" s="22">
        <v>4.617</v>
      </c>
      <c r="I39" s="22" t="s">
        <v>106</v>
      </c>
      <c r="J39" s="23">
        <f t="shared" si="6"/>
        <v>79.075728155339803</v>
      </c>
      <c r="K39" s="23">
        <f t="shared" si="7"/>
        <v>78.422427302803413</v>
      </c>
      <c r="L39" s="22">
        <v>20.361999999999998</v>
      </c>
      <c r="M39" s="22">
        <v>22.518999999999998</v>
      </c>
      <c r="N39" s="22">
        <v>25.75</v>
      </c>
      <c r="O39" s="22">
        <v>28.715</v>
      </c>
    </row>
    <row r="40" spans="1:15" x14ac:dyDescent="0.2">
      <c r="A40" s="22" t="s">
        <v>111</v>
      </c>
      <c r="B40" s="23">
        <f t="shared" si="4"/>
        <v>106.06936416184971</v>
      </c>
      <c r="C40" s="23">
        <f t="shared" si="5"/>
        <v>106.46766169154232</v>
      </c>
      <c r="D40" s="22">
        <v>2.202</v>
      </c>
      <c r="E40" s="22">
        <v>2.14</v>
      </c>
      <c r="F40" s="22">
        <v>2.0760000000000001</v>
      </c>
      <c r="G40" s="22">
        <v>2.0099999999999998</v>
      </c>
      <c r="I40" s="22" t="s">
        <v>107</v>
      </c>
      <c r="J40" s="23">
        <f t="shared" si="6"/>
        <v>71.908396946564878</v>
      </c>
      <c r="K40" s="23">
        <f t="shared" si="7"/>
        <v>45.862068965517246</v>
      </c>
      <c r="L40" s="22">
        <v>0.47099999999999997</v>
      </c>
      <c r="M40" s="22">
        <v>0.39900000000000002</v>
      </c>
      <c r="N40" s="22">
        <v>0.65500000000000003</v>
      </c>
      <c r="O40" s="22">
        <v>0.87</v>
      </c>
    </row>
    <row r="41" spans="1:15" x14ac:dyDescent="0.2">
      <c r="A41" s="22" t="s">
        <v>103</v>
      </c>
      <c r="B41" s="23">
        <f t="shared" si="4"/>
        <v>54.234324256807383</v>
      </c>
      <c r="C41" s="23">
        <f t="shared" si="5"/>
        <v>54.401365520604728</v>
      </c>
      <c r="D41" s="22">
        <v>2.1709999999999998</v>
      </c>
      <c r="E41" s="22">
        <v>2.2309999999999999</v>
      </c>
      <c r="F41" s="22">
        <v>4.0030000000000001</v>
      </c>
      <c r="G41" s="22">
        <v>4.101</v>
      </c>
      <c r="I41" s="22" t="s">
        <v>108</v>
      </c>
      <c r="J41" s="23">
        <f t="shared" si="6"/>
        <v>112.00941915227629</v>
      </c>
      <c r="K41" s="23">
        <f t="shared" si="7"/>
        <v>112.01904006346687</v>
      </c>
      <c r="L41" s="22">
        <v>2.8540000000000001</v>
      </c>
      <c r="M41" s="22">
        <v>2.8239999999999998</v>
      </c>
      <c r="N41" s="22">
        <v>2.548</v>
      </c>
      <c r="O41" s="22">
        <v>2.5209999999999999</v>
      </c>
    </row>
    <row r="42" spans="1:15" x14ac:dyDescent="0.2">
      <c r="A42" s="22" t="s">
        <v>112</v>
      </c>
      <c r="B42" s="23">
        <f t="shared" si="4"/>
        <v>59.595358524248731</v>
      </c>
      <c r="C42" s="23">
        <f t="shared" si="5"/>
        <v>53.846153846153854</v>
      </c>
      <c r="D42" s="22">
        <v>2.0030000000000001</v>
      </c>
      <c r="E42" s="22">
        <v>1.764</v>
      </c>
      <c r="F42" s="22">
        <v>3.3610000000000002</v>
      </c>
      <c r="G42" s="22">
        <v>3.2759999999999998</v>
      </c>
      <c r="I42" s="22" t="s">
        <v>109</v>
      </c>
      <c r="J42" s="23">
        <f t="shared" si="6"/>
        <v>26.597504134716583</v>
      </c>
      <c r="K42" s="23">
        <f t="shared" si="7"/>
        <v>25.443275191004755</v>
      </c>
      <c r="L42" s="22">
        <v>1.7689999999999999</v>
      </c>
      <c r="M42" s="22">
        <v>1.7649999999999999</v>
      </c>
      <c r="N42" s="22">
        <v>6.6509999999999998</v>
      </c>
      <c r="O42" s="22">
        <v>6.9370000000000003</v>
      </c>
    </row>
    <row r="43" spans="1:15" x14ac:dyDescent="0.2">
      <c r="A43" s="22" t="s">
        <v>102</v>
      </c>
      <c r="B43" s="23">
        <f t="shared" si="4"/>
        <v>36.37162310564463</v>
      </c>
      <c r="C43" s="23">
        <f t="shared" si="5"/>
        <v>35.438265786993398</v>
      </c>
      <c r="D43" s="22">
        <v>1.6559999999999999</v>
      </c>
      <c r="E43" s="22">
        <v>1.88</v>
      </c>
      <c r="F43" s="22">
        <v>4.5529999999999999</v>
      </c>
      <c r="G43" s="22">
        <v>5.3049999999999997</v>
      </c>
      <c r="I43" s="22" t="s">
        <v>110</v>
      </c>
      <c r="J43" s="23">
        <f t="shared" si="6"/>
        <v>68.059552108094593</v>
      </c>
      <c r="K43" s="23">
        <f t="shared" si="7"/>
        <v>68.025971067319745</v>
      </c>
      <c r="L43" s="22">
        <v>5.44</v>
      </c>
      <c r="M43" s="22">
        <v>5.9720000000000004</v>
      </c>
      <c r="N43" s="22">
        <v>7.9930000000000003</v>
      </c>
      <c r="O43" s="22">
        <v>8.7789999999999999</v>
      </c>
    </row>
    <row r="44" spans="1:15" x14ac:dyDescent="0.2">
      <c r="A44" s="22" t="s">
        <v>119</v>
      </c>
      <c r="B44" s="23">
        <f t="shared" si="4"/>
        <v>117.36571008094188</v>
      </c>
      <c r="C44" s="23">
        <f t="shared" si="5"/>
        <v>117.35751295336789</v>
      </c>
      <c r="D44" s="22">
        <v>1.595</v>
      </c>
      <c r="E44" s="22">
        <v>1.359</v>
      </c>
      <c r="F44" s="22">
        <v>1.359</v>
      </c>
      <c r="G44" s="22">
        <v>1.1579999999999999</v>
      </c>
      <c r="I44" s="22" t="s">
        <v>111</v>
      </c>
      <c r="J44" s="23">
        <f t="shared" si="6"/>
        <v>112.50925240562546</v>
      </c>
      <c r="K44" s="23">
        <f t="shared" si="7"/>
        <v>129.91452991452991</v>
      </c>
      <c r="L44" s="22">
        <v>1.52</v>
      </c>
      <c r="M44" s="22">
        <v>1.52</v>
      </c>
      <c r="N44" s="22">
        <v>1.351</v>
      </c>
      <c r="O44" s="22">
        <v>1.17</v>
      </c>
    </row>
    <row r="45" spans="1:15" x14ac:dyDescent="0.2">
      <c r="A45" s="22" t="s">
        <v>113</v>
      </c>
      <c r="B45" s="23">
        <f t="shared" si="4"/>
        <v>29.613992762364294</v>
      </c>
      <c r="C45" s="23">
        <f t="shared" si="5"/>
        <v>28.681364392678869</v>
      </c>
      <c r="D45" s="22">
        <v>1.4730000000000001</v>
      </c>
      <c r="E45" s="22">
        <v>1.379</v>
      </c>
      <c r="F45" s="22">
        <v>4.9740000000000002</v>
      </c>
      <c r="G45" s="22">
        <v>4.8079999999999998</v>
      </c>
      <c r="I45" s="22" t="s">
        <v>112</v>
      </c>
      <c r="J45" s="23">
        <f t="shared" si="6"/>
        <v>58.559527008868571</v>
      </c>
      <c r="K45" s="23">
        <f t="shared" si="7"/>
        <v>60.835509138381205</v>
      </c>
      <c r="L45" s="22">
        <v>2.1789999999999998</v>
      </c>
      <c r="M45" s="22">
        <v>2.33</v>
      </c>
      <c r="N45" s="22">
        <v>3.7210000000000001</v>
      </c>
      <c r="O45" s="22">
        <v>3.83</v>
      </c>
    </row>
    <row r="46" spans="1:15" x14ac:dyDescent="0.2">
      <c r="A46" s="22" t="s">
        <v>109</v>
      </c>
      <c r="B46" s="23">
        <f t="shared" si="4"/>
        <v>20.233003981713615</v>
      </c>
      <c r="C46" s="23">
        <f t="shared" si="5"/>
        <v>22.885644065346249</v>
      </c>
      <c r="D46" s="22">
        <v>1.3720000000000001</v>
      </c>
      <c r="E46" s="22">
        <v>1.583</v>
      </c>
      <c r="F46" s="22">
        <v>6.7809999999999997</v>
      </c>
      <c r="G46" s="22">
        <v>6.9169999999999998</v>
      </c>
      <c r="I46" s="22" t="s">
        <v>113</v>
      </c>
      <c r="J46" s="23">
        <f>(L46/N46) * 100</f>
        <v>32.075060004363955</v>
      </c>
      <c r="K46" s="23">
        <f t="shared" si="7"/>
        <v>33.600944510035418</v>
      </c>
      <c r="L46" s="22">
        <v>1.47</v>
      </c>
      <c r="M46" s="22">
        <v>1.423</v>
      </c>
      <c r="N46" s="22">
        <v>4.5830000000000002</v>
      </c>
      <c r="O46" s="22">
        <v>4.2350000000000003</v>
      </c>
    </row>
    <row r="47" spans="1:15" x14ac:dyDescent="0.2">
      <c r="A47" s="22" t="s">
        <v>105</v>
      </c>
      <c r="B47" s="23">
        <f t="shared" si="4"/>
        <v>42.030510257759076</v>
      </c>
      <c r="C47" s="23">
        <f t="shared" si="5"/>
        <v>43.956043956043963</v>
      </c>
      <c r="D47" s="22">
        <v>0.79900000000000004</v>
      </c>
      <c r="E47" s="22">
        <v>0.56000000000000005</v>
      </c>
      <c r="F47" s="22">
        <v>1.901</v>
      </c>
      <c r="G47" s="22">
        <v>1.274</v>
      </c>
      <c r="I47" s="22" t="s">
        <v>114</v>
      </c>
      <c r="J47" s="23">
        <f t="shared" si="6"/>
        <v>110.23102310231023</v>
      </c>
      <c r="K47" s="23">
        <f t="shared" si="7"/>
        <v>113.27160493827159</v>
      </c>
      <c r="L47" s="22">
        <v>0.66800000000000004</v>
      </c>
      <c r="M47" s="22">
        <v>0.73399999999999999</v>
      </c>
      <c r="N47" s="22">
        <v>0.60599999999999998</v>
      </c>
      <c r="O47" s="22">
        <v>0.64800000000000002</v>
      </c>
    </row>
    <row r="48" spans="1:15" x14ac:dyDescent="0.2">
      <c r="A48" s="22" t="s">
        <v>114</v>
      </c>
      <c r="B48" s="23">
        <f t="shared" si="4"/>
        <v>111.26543209876543</v>
      </c>
      <c r="C48" s="23">
        <f t="shared" si="5"/>
        <v>112.56117455138661</v>
      </c>
      <c r="D48" s="22">
        <v>0.72099999999999997</v>
      </c>
      <c r="E48" s="22">
        <v>0.69</v>
      </c>
      <c r="F48" s="22">
        <v>0.64800000000000002</v>
      </c>
      <c r="G48" s="22">
        <v>0.61299999999999999</v>
      </c>
      <c r="I48" s="22" t="s">
        <v>115</v>
      </c>
      <c r="J48" s="23">
        <f t="shared" si="6"/>
        <v>85.883864651532761</v>
      </c>
      <c r="K48" s="23">
        <f t="shared" si="7"/>
        <v>84.616873065015483</v>
      </c>
      <c r="L48" s="22">
        <v>14.036</v>
      </c>
      <c r="M48" s="22">
        <v>13.119</v>
      </c>
      <c r="N48" s="22">
        <v>16.343</v>
      </c>
      <c r="O48" s="22">
        <v>15.504</v>
      </c>
    </row>
    <row r="49" spans="1:15" x14ac:dyDescent="0.2">
      <c r="A49" s="22" t="s">
        <v>101</v>
      </c>
      <c r="B49" s="23">
        <f t="shared" si="4"/>
        <v>107.20858895705521</v>
      </c>
      <c r="C49" s="23">
        <f t="shared" si="5"/>
        <v>107.21062618595825</v>
      </c>
      <c r="D49" s="22">
        <v>0.69899999999999995</v>
      </c>
      <c r="E49" s="22">
        <v>0.56499999999999995</v>
      </c>
      <c r="F49" s="22">
        <v>0.65200000000000002</v>
      </c>
      <c r="G49" s="22">
        <v>0.52700000000000002</v>
      </c>
      <c r="I49" s="22" t="s">
        <v>116</v>
      </c>
      <c r="J49" s="23">
        <f>(L49/N49) * 100</f>
        <v>45.561519405450035</v>
      </c>
      <c r="K49" s="23">
        <f t="shared" si="7"/>
        <v>48.263817546743375</v>
      </c>
      <c r="L49" s="22">
        <v>2.2069999999999999</v>
      </c>
      <c r="M49" s="22">
        <v>2.3490000000000002</v>
      </c>
      <c r="N49" s="22">
        <v>4.8440000000000003</v>
      </c>
      <c r="O49" s="22">
        <v>4.867</v>
      </c>
    </row>
    <row r="50" spans="1:15" x14ac:dyDescent="0.2">
      <c r="A50" s="22" t="s">
        <v>120</v>
      </c>
      <c r="B50" s="23">
        <v>0</v>
      </c>
      <c r="C50" s="23">
        <v>0</v>
      </c>
      <c r="D50" s="22">
        <v>0</v>
      </c>
      <c r="E50" s="22">
        <v>0</v>
      </c>
      <c r="F50" s="22">
        <v>0</v>
      </c>
      <c r="G50" s="22">
        <v>0</v>
      </c>
      <c r="I50" s="22" t="s">
        <v>117</v>
      </c>
      <c r="J50" s="23">
        <f>(L50/N50) * 100</f>
        <v>38.221673355974062</v>
      </c>
      <c r="K50" s="23">
        <f t="shared" si="7"/>
        <v>41.042414011394811</v>
      </c>
      <c r="L50" s="22">
        <v>3.714</v>
      </c>
      <c r="M50" s="22">
        <v>3.89</v>
      </c>
      <c r="N50" s="22">
        <v>9.7170000000000005</v>
      </c>
      <c r="O50" s="22">
        <v>9.4779999999999998</v>
      </c>
    </row>
    <row r="51" spans="1:15" x14ac:dyDescent="0.2">
      <c r="A51" s="22" t="s">
        <v>122</v>
      </c>
      <c r="B51" s="23">
        <f t="shared" si="4"/>
        <v>55.516236469608657</v>
      </c>
      <c r="C51" s="23">
        <f t="shared" si="5"/>
        <v>54.543771293141752</v>
      </c>
      <c r="D51" s="22">
        <v>93.344999999999999</v>
      </c>
      <c r="E51" s="22">
        <v>88.373999999999995</v>
      </c>
      <c r="F51" s="22">
        <v>168.14</v>
      </c>
      <c r="G51" s="22">
        <v>162.024</v>
      </c>
      <c r="I51" s="22" t="s">
        <v>122</v>
      </c>
      <c r="J51" s="23">
        <f t="shared" ref="J51" si="8">(L51/N51) * 100</f>
        <v>55.87870713623726</v>
      </c>
      <c r="K51" s="23">
        <f t="shared" ref="K51" si="9">(M51/O51)*100</f>
        <v>56.862169757022428</v>
      </c>
      <c r="L51" s="22">
        <v>96.468999999999994</v>
      </c>
      <c r="M51" s="22">
        <v>100.77</v>
      </c>
      <c r="N51" s="22">
        <v>172.64</v>
      </c>
      <c r="O51" s="22">
        <v>177.21799999999999</v>
      </c>
    </row>
  </sheetData>
  <mergeCells count="11">
    <mergeCell ref="N2:O2"/>
    <mergeCell ref="D2:E2"/>
    <mergeCell ref="F2:G2"/>
    <mergeCell ref="B2:C2"/>
    <mergeCell ref="J2:K2"/>
    <mergeCell ref="L2:M2"/>
    <mergeCell ref="B28:C28"/>
    <mergeCell ref="D28:E28"/>
    <mergeCell ref="F28:G28"/>
    <mergeCell ref="J28:K28"/>
    <mergeCell ref="N28:O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D1D49-31BC-1740-BB33-8598D666CF4C}">
  <dimension ref="A1:T176"/>
  <sheetViews>
    <sheetView tabSelected="1" workbookViewId="0">
      <pane ySplit="8" topLeftCell="A135" activePane="bottomLeft" state="frozen"/>
      <selection pane="bottomLeft" activeCell="A2" sqref="A2"/>
    </sheetView>
  </sheetViews>
  <sheetFormatPr baseColWidth="10" defaultRowHeight="16" x14ac:dyDescent="0.2"/>
  <cols>
    <col min="21" max="21" width="18.83203125" bestFit="1" customWidth="1"/>
  </cols>
  <sheetData>
    <row r="1" spans="1:17" ht="20" x14ac:dyDescent="0.2">
      <c r="A1" s="26" t="s">
        <v>124</v>
      </c>
    </row>
    <row r="2" spans="1:17" x14ac:dyDescent="0.2">
      <c r="A2" s="27" t="s">
        <v>123</v>
      </c>
    </row>
    <row r="5" spans="1:17" ht="17" thickBot="1" x14ac:dyDescent="0.25">
      <c r="A5" s="4" t="s">
        <v>16</v>
      </c>
    </row>
    <row r="6" spans="1:17" x14ac:dyDescent="0.2">
      <c r="A6" s="5" t="s">
        <v>17</v>
      </c>
      <c r="B6" s="5">
        <v>1</v>
      </c>
      <c r="C6" s="5">
        <v>2</v>
      </c>
      <c r="D6" s="5">
        <v>3</v>
      </c>
      <c r="E6" s="5">
        <v>4</v>
      </c>
      <c r="F6" s="5">
        <v>5</v>
      </c>
      <c r="G6" s="5">
        <v>6</v>
      </c>
      <c r="H6" s="5">
        <v>7</v>
      </c>
      <c r="I6" s="5">
        <v>8</v>
      </c>
      <c r="J6" s="5">
        <v>9</v>
      </c>
      <c r="K6" s="5">
        <v>10</v>
      </c>
      <c r="L6" s="5">
        <v>11</v>
      </c>
      <c r="M6" s="5">
        <v>12</v>
      </c>
      <c r="N6" s="5">
        <v>13</v>
      </c>
      <c r="O6" s="5">
        <v>14</v>
      </c>
      <c r="P6" s="5">
        <v>15</v>
      </c>
      <c r="Q6" s="5">
        <v>16</v>
      </c>
    </row>
    <row r="7" spans="1:17" x14ac:dyDescent="0.2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 t="s">
        <v>24</v>
      </c>
      <c r="H7" s="6" t="s">
        <v>25</v>
      </c>
      <c r="I7" s="6" t="s">
        <v>26</v>
      </c>
      <c r="J7" s="6" t="s">
        <v>27</v>
      </c>
      <c r="K7" s="6" t="s">
        <v>28</v>
      </c>
      <c r="L7" s="6" t="s">
        <v>29</v>
      </c>
      <c r="M7" s="6" t="s">
        <v>30</v>
      </c>
      <c r="N7" s="6" t="s">
        <v>31</v>
      </c>
      <c r="O7" s="6" t="s">
        <v>32</v>
      </c>
      <c r="P7" s="6" t="s">
        <v>33</v>
      </c>
      <c r="Q7" s="6" t="s">
        <v>34</v>
      </c>
    </row>
    <row r="8" spans="1:17" x14ac:dyDescent="0.2">
      <c r="A8" s="6" t="s">
        <v>35</v>
      </c>
      <c r="B8" s="6" t="s">
        <v>36</v>
      </c>
      <c r="C8" s="7">
        <v>0.91</v>
      </c>
      <c r="D8" s="7">
        <v>0.99</v>
      </c>
      <c r="E8" s="7">
        <v>0.99</v>
      </c>
      <c r="F8" s="7">
        <v>1</v>
      </c>
      <c r="G8" s="7">
        <v>1</v>
      </c>
      <c r="H8" s="7">
        <v>1</v>
      </c>
      <c r="I8" s="7">
        <v>1</v>
      </c>
      <c r="J8" s="7">
        <v>1</v>
      </c>
      <c r="K8" s="7">
        <v>1</v>
      </c>
      <c r="L8" s="7">
        <v>1</v>
      </c>
      <c r="M8" s="7">
        <v>1</v>
      </c>
      <c r="N8" s="6" t="s">
        <v>36</v>
      </c>
      <c r="O8" s="7">
        <v>1</v>
      </c>
      <c r="P8" s="6" t="s">
        <v>36</v>
      </c>
      <c r="Q8" s="6" t="s">
        <v>36</v>
      </c>
    </row>
    <row r="9" spans="1:17" ht="17" thickBot="1" x14ac:dyDescent="0.25">
      <c r="A9" s="8" t="s">
        <v>9</v>
      </c>
      <c r="B9" s="8" t="s">
        <v>37</v>
      </c>
      <c r="C9" s="8" t="s">
        <v>37</v>
      </c>
      <c r="D9" s="8" t="s">
        <v>37</v>
      </c>
      <c r="E9" s="8" t="s">
        <v>37</v>
      </c>
      <c r="F9" s="8" t="s">
        <v>37</v>
      </c>
      <c r="G9" s="8" t="s">
        <v>37</v>
      </c>
      <c r="H9" s="8" t="s">
        <v>37</v>
      </c>
      <c r="I9" s="8" t="s">
        <v>37</v>
      </c>
      <c r="J9" s="8" t="s">
        <v>37</v>
      </c>
      <c r="K9" s="8" t="s">
        <v>37</v>
      </c>
      <c r="L9" s="8" t="s">
        <v>37</v>
      </c>
      <c r="M9" s="8" t="s">
        <v>37</v>
      </c>
      <c r="N9" s="8" t="s">
        <v>14</v>
      </c>
      <c r="O9" s="8" t="s">
        <v>38</v>
      </c>
      <c r="P9" s="8" t="s">
        <v>39</v>
      </c>
      <c r="Q9" s="8" t="s">
        <v>40</v>
      </c>
    </row>
    <row r="10" spans="1:17" x14ac:dyDescent="0.2">
      <c r="A10" s="6">
        <v>1870</v>
      </c>
      <c r="B10" s="6">
        <v>12.2</v>
      </c>
      <c r="C10" s="6"/>
      <c r="D10" s="6">
        <v>9.8000000000000007</v>
      </c>
      <c r="E10" s="6"/>
      <c r="F10" s="6">
        <v>2</v>
      </c>
      <c r="G10" s="6">
        <v>4.9000000000000004</v>
      </c>
      <c r="H10" s="6">
        <v>13.1</v>
      </c>
      <c r="I10" s="6">
        <v>10.3</v>
      </c>
      <c r="J10" s="6">
        <v>6</v>
      </c>
      <c r="K10" s="6">
        <v>3</v>
      </c>
      <c r="L10" s="6">
        <v>2</v>
      </c>
      <c r="M10" s="6">
        <v>3</v>
      </c>
      <c r="N10" s="6" t="s">
        <v>36</v>
      </c>
      <c r="O10" s="6">
        <v>0</v>
      </c>
      <c r="P10" s="6">
        <v>1.54</v>
      </c>
      <c r="Q10" s="6">
        <v>1260</v>
      </c>
    </row>
    <row r="11" spans="1:17" x14ac:dyDescent="0.2">
      <c r="A11" s="6">
        <v>1871</v>
      </c>
      <c r="B11" s="6">
        <v>12.8</v>
      </c>
      <c r="C11" s="6"/>
      <c r="D11" s="6">
        <v>10</v>
      </c>
      <c r="E11" s="6"/>
      <c r="F11" s="6">
        <v>2.1</v>
      </c>
      <c r="G11" s="6">
        <v>5</v>
      </c>
      <c r="H11" s="6">
        <v>13.3</v>
      </c>
      <c r="I11" s="6">
        <v>10.5</v>
      </c>
      <c r="J11" s="6">
        <v>6</v>
      </c>
      <c r="K11" s="6">
        <v>3</v>
      </c>
      <c r="L11" s="6">
        <v>2</v>
      </c>
      <c r="M11" s="6">
        <v>3</v>
      </c>
      <c r="N11" s="6" t="s">
        <v>36</v>
      </c>
      <c r="O11" s="6">
        <v>0</v>
      </c>
      <c r="P11" s="6">
        <v>1.57</v>
      </c>
      <c r="Q11" s="6">
        <v>1268</v>
      </c>
    </row>
    <row r="12" spans="1:17" x14ac:dyDescent="0.2">
      <c r="A12" s="6">
        <v>1872</v>
      </c>
      <c r="B12" s="6">
        <v>14.7</v>
      </c>
      <c r="C12" s="6"/>
      <c r="D12" s="6">
        <v>10.3</v>
      </c>
      <c r="E12" s="6"/>
      <c r="F12" s="6">
        <v>2.1</v>
      </c>
      <c r="G12" s="6">
        <v>5.0999999999999996</v>
      </c>
      <c r="H12" s="6">
        <v>13.7</v>
      </c>
      <c r="I12" s="6">
        <v>10.8</v>
      </c>
      <c r="J12" s="6">
        <v>7</v>
      </c>
      <c r="K12" s="6">
        <v>3</v>
      </c>
      <c r="L12" s="6">
        <v>0</v>
      </c>
      <c r="M12" s="6">
        <v>3</v>
      </c>
      <c r="N12" s="6" t="s">
        <v>36</v>
      </c>
      <c r="O12" s="6">
        <v>0</v>
      </c>
      <c r="P12" s="6">
        <v>1.6</v>
      </c>
      <c r="Q12" s="6">
        <v>1276</v>
      </c>
    </row>
    <row r="13" spans="1:17" x14ac:dyDescent="0.2">
      <c r="A13" s="6">
        <v>1873</v>
      </c>
      <c r="B13" s="6">
        <v>15</v>
      </c>
      <c r="C13" s="6"/>
      <c r="D13" s="6">
        <v>10.5</v>
      </c>
      <c r="E13" s="6"/>
      <c r="F13" s="6">
        <v>2.1</v>
      </c>
      <c r="G13" s="6">
        <v>5.2</v>
      </c>
      <c r="H13" s="6">
        <v>13.9</v>
      </c>
      <c r="I13" s="6">
        <v>10.9</v>
      </c>
      <c r="J13" s="6">
        <v>7</v>
      </c>
      <c r="K13" s="6">
        <v>3</v>
      </c>
      <c r="L13" s="6">
        <v>0</v>
      </c>
      <c r="M13" s="6">
        <v>4</v>
      </c>
      <c r="N13" s="6" t="s">
        <v>36</v>
      </c>
      <c r="O13" s="6">
        <v>0</v>
      </c>
      <c r="P13" s="6">
        <v>1.64</v>
      </c>
      <c r="Q13" s="6">
        <v>1285</v>
      </c>
    </row>
    <row r="14" spans="1:17" x14ac:dyDescent="0.2">
      <c r="A14" s="6">
        <v>1874</v>
      </c>
      <c r="B14" s="6">
        <v>13.8</v>
      </c>
      <c r="C14" s="6"/>
      <c r="D14" s="6">
        <v>10.8</v>
      </c>
      <c r="E14" s="6"/>
      <c r="F14" s="6">
        <v>2.1</v>
      </c>
      <c r="G14" s="6">
        <v>5.2</v>
      </c>
      <c r="H14" s="6">
        <v>14.1</v>
      </c>
      <c r="I14" s="6">
        <v>11.1</v>
      </c>
      <c r="J14" s="6">
        <v>7</v>
      </c>
      <c r="K14" s="6">
        <v>3</v>
      </c>
      <c r="L14" s="6">
        <v>1</v>
      </c>
      <c r="M14" s="6">
        <v>4</v>
      </c>
      <c r="N14" s="6" t="s">
        <v>36</v>
      </c>
      <c r="O14" s="6">
        <v>0</v>
      </c>
      <c r="P14" s="6">
        <v>1.67</v>
      </c>
      <c r="Q14" s="6">
        <v>1293</v>
      </c>
    </row>
    <row r="15" spans="1:17" x14ac:dyDescent="0.2">
      <c r="A15" s="6">
        <v>1875</v>
      </c>
      <c r="B15" s="6">
        <v>14</v>
      </c>
      <c r="C15" s="6"/>
      <c r="D15" s="6">
        <v>11.1</v>
      </c>
      <c r="E15" s="6"/>
      <c r="F15" s="6">
        <v>2.2000000000000002</v>
      </c>
      <c r="G15" s="6">
        <v>5.4</v>
      </c>
      <c r="H15" s="6">
        <v>14.5</v>
      </c>
      <c r="I15" s="6">
        <v>11.4</v>
      </c>
      <c r="J15" s="6">
        <v>7</v>
      </c>
      <c r="K15" s="6">
        <v>3</v>
      </c>
      <c r="L15" s="6">
        <v>2</v>
      </c>
      <c r="M15" s="6">
        <v>4</v>
      </c>
      <c r="N15" s="6" t="s">
        <v>36</v>
      </c>
      <c r="O15" s="6">
        <v>0</v>
      </c>
      <c r="P15" s="6">
        <v>1.69</v>
      </c>
      <c r="Q15" s="6">
        <v>1301</v>
      </c>
    </row>
    <row r="16" spans="1:17" x14ac:dyDescent="0.2">
      <c r="A16" s="6">
        <v>1876</v>
      </c>
      <c r="B16" s="6">
        <v>13.8</v>
      </c>
      <c r="C16" s="6"/>
      <c r="D16" s="6">
        <v>11.7</v>
      </c>
      <c r="E16" s="6"/>
      <c r="F16" s="6">
        <v>2.2999999999999998</v>
      </c>
      <c r="G16" s="6">
        <v>5.6</v>
      </c>
      <c r="H16" s="6">
        <v>15.2</v>
      </c>
      <c r="I16" s="6">
        <v>12</v>
      </c>
      <c r="J16" s="6">
        <v>7</v>
      </c>
      <c r="K16" s="6">
        <v>3</v>
      </c>
      <c r="L16" s="6">
        <v>3</v>
      </c>
      <c r="M16" s="6">
        <v>4</v>
      </c>
      <c r="N16" s="6" t="s">
        <v>36</v>
      </c>
      <c r="O16" s="6">
        <v>0.1</v>
      </c>
      <c r="P16" s="6">
        <v>1.7</v>
      </c>
      <c r="Q16" s="6">
        <v>1309</v>
      </c>
    </row>
    <row r="17" spans="1:17" x14ac:dyDescent="0.2">
      <c r="A17" s="6">
        <v>1877</v>
      </c>
      <c r="B17" s="6">
        <v>14.2</v>
      </c>
      <c r="C17" s="6"/>
      <c r="D17" s="6">
        <v>12.2</v>
      </c>
      <c r="E17" s="6"/>
      <c r="F17" s="6">
        <v>2.4</v>
      </c>
      <c r="G17" s="6">
        <v>5.8</v>
      </c>
      <c r="H17" s="6">
        <v>15.8</v>
      </c>
      <c r="I17" s="6">
        <v>12.5</v>
      </c>
      <c r="J17" s="6">
        <v>8</v>
      </c>
      <c r="K17" s="6">
        <v>3</v>
      </c>
      <c r="L17" s="6">
        <v>3</v>
      </c>
      <c r="M17" s="6">
        <v>4</v>
      </c>
      <c r="N17" s="6" t="s">
        <v>36</v>
      </c>
      <c r="O17" s="6">
        <v>0.1</v>
      </c>
      <c r="P17" s="6">
        <v>1.73</v>
      </c>
      <c r="Q17" s="6">
        <v>1318</v>
      </c>
    </row>
    <row r="18" spans="1:17" x14ac:dyDescent="0.2">
      <c r="A18" s="6">
        <v>1878</v>
      </c>
      <c r="B18" s="6">
        <v>14.5</v>
      </c>
      <c r="C18" s="6"/>
      <c r="D18" s="6">
        <v>13</v>
      </c>
      <c r="E18" s="6"/>
      <c r="F18" s="6">
        <v>2.5</v>
      </c>
      <c r="G18" s="6">
        <v>6.1</v>
      </c>
      <c r="H18" s="6">
        <v>16.8</v>
      </c>
      <c r="I18" s="6">
        <v>13.2</v>
      </c>
      <c r="J18" s="6">
        <v>8</v>
      </c>
      <c r="K18" s="6">
        <v>4</v>
      </c>
      <c r="L18" s="6">
        <v>4</v>
      </c>
      <c r="M18" s="6">
        <v>4</v>
      </c>
      <c r="N18" s="6" t="s">
        <v>36</v>
      </c>
      <c r="O18" s="6">
        <v>0.1</v>
      </c>
      <c r="P18" s="6">
        <v>1.75</v>
      </c>
      <c r="Q18" s="6">
        <v>1326</v>
      </c>
    </row>
    <row r="19" spans="1:17" ht="17" thickBot="1" x14ac:dyDescent="0.25">
      <c r="A19" s="8">
        <v>1879</v>
      </c>
      <c r="B19" s="8">
        <v>14.5</v>
      </c>
      <c r="C19" s="8"/>
      <c r="D19" s="8">
        <v>13.4</v>
      </c>
      <c r="E19" s="8"/>
      <c r="F19" s="8">
        <v>2.6</v>
      </c>
      <c r="G19" s="8">
        <v>6.3</v>
      </c>
      <c r="H19" s="8">
        <v>17.3</v>
      </c>
      <c r="I19" s="8">
        <v>13.7</v>
      </c>
      <c r="J19" s="8">
        <v>8</v>
      </c>
      <c r="K19" s="8">
        <v>4</v>
      </c>
      <c r="L19" s="8">
        <v>4</v>
      </c>
      <c r="M19" s="8">
        <v>5</v>
      </c>
      <c r="N19" s="9">
        <v>0.53900000000000003</v>
      </c>
      <c r="O19" s="8">
        <v>0.1</v>
      </c>
      <c r="P19" s="8">
        <v>1.79</v>
      </c>
      <c r="Q19" s="8">
        <v>1334</v>
      </c>
    </row>
    <row r="20" spans="1:17" x14ac:dyDescent="0.2">
      <c r="A20" s="6">
        <v>1880</v>
      </c>
      <c r="B20" s="6">
        <v>18.600000000000001</v>
      </c>
      <c r="C20" s="6"/>
      <c r="D20" s="6">
        <v>14.6</v>
      </c>
      <c r="E20" s="6"/>
      <c r="F20" s="6">
        <v>2.7</v>
      </c>
      <c r="G20" s="6">
        <v>6.8</v>
      </c>
      <c r="H20" s="6">
        <v>18.7</v>
      </c>
      <c r="I20" s="6">
        <v>14.8</v>
      </c>
      <c r="J20" s="6">
        <v>9</v>
      </c>
      <c r="K20" s="6">
        <v>4</v>
      </c>
      <c r="L20" s="6">
        <v>2</v>
      </c>
      <c r="M20" s="6">
        <v>5</v>
      </c>
      <c r="N20" s="10">
        <v>0.51</v>
      </c>
      <c r="O20" s="6">
        <v>0.1</v>
      </c>
      <c r="P20" s="6">
        <v>1.85</v>
      </c>
      <c r="Q20" s="6">
        <v>1342</v>
      </c>
    </row>
    <row r="21" spans="1:17" x14ac:dyDescent="0.2">
      <c r="A21" s="6">
        <v>1881</v>
      </c>
      <c r="B21" s="6">
        <v>19.899999999999999</v>
      </c>
      <c r="C21" s="6"/>
      <c r="D21" s="6">
        <v>15.6</v>
      </c>
      <c r="E21" s="6"/>
      <c r="F21" s="6">
        <v>2.9</v>
      </c>
      <c r="G21" s="6">
        <v>7.2</v>
      </c>
      <c r="H21" s="6">
        <v>20</v>
      </c>
      <c r="I21" s="6">
        <v>15.8</v>
      </c>
      <c r="J21" s="6">
        <v>9</v>
      </c>
      <c r="K21" s="6">
        <v>4</v>
      </c>
      <c r="L21" s="6">
        <v>2</v>
      </c>
      <c r="M21" s="6">
        <v>5</v>
      </c>
      <c r="N21" s="10">
        <v>0.49099999999999999</v>
      </c>
      <c r="O21" s="6">
        <v>0.1</v>
      </c>
      <c r="P21" s="6">
        <v>1.9</v>
      </c>
      <c r="Q21" s="6">
        <v>1353</v>
      </c>
    </row>
    <row r="22" spans="1:17" x14ac:dyDescent="0.2">
      <c r="A22" s="6">
        <v>1882</v>
      </c>
      <c r="B22" s="6">
        <v>21.2</v>
      </c>
      <c r="C22" s="6"/>
      <c r="D22" s="6">
        <v>16.8</v>
      </c>
      <c r="E22" s="6"/>
      <c r="F22" s="6">
        <v>3.1</v>
      </c>
      <c r="G22" s="6">
        <v>7.7</v>
      </c>
      <c r="H22" s="6">
        <v>21.4</v>
      </c>
      <c r="I22" s="6">
        <v>16.899999999999999</v>
      </c>
      <c r="J22" s="6">
        <v>10</v>
      </c>
      <c r="K22" s="6">
        <v>4</v>
      </c>
      <c r="L22" s="6">
        <v>2</v>
      </c>
      <c r="M22" s="6">
        <v>5</v>
      </c>
      <c r="N22" s="10">
        <v>0.50900000000000001</v>
      </c>
      <c r="O22" s="6">
        <v>0.1</v>
      </c>
      <c r="P22" s="6">
        <v>1.94</v>
      </c>
      <c r="Q22" s="6">
        <v>1365</v>
      </c>
    </row>
    <row r="23" spans="1:17" x14ac:dyDescent="0.2">
      <c r="A23" s="6">
        <v>1883</v>
      </c>
      <c r="B23" s="6">
        <v>21.4</v>
      </c>
      <c r="C23" s="6"/>
      <c r="D23" s="6">
        <v>15.9</v>
      </c>
      <c r="E23" s="6"/>
      <c r="F23" s="6">
        <v>2.9</v>
      </c>
      <c r="G23" s="6">
        <v>7.2</v>
      </c>
      <c r="H23" s="6">
        <v>20.100000000000001</v>
      </c>
      <c r="I23" s="6">
        <v>15.9</v>
      </c>
      <c r="J23" s="6">
        <v>9</v>
      </c>
      <c r="K23" s="6">
        <v>4</v>
      </c>
      <c r="L23" s="6">
        <v>0</v>
      </c>
      <c r="M23" s="6">
        <v>6</v>
      </c>
      <c r="N23" s="10">
        <v>0.49099999999999999</v>
      </c>
      <c r="O23" s="6">
        <v>0.1</v>
      </c>
      <c r="P23" s="6">
        <v>1.97</v>
      </c>
      <c r="Q23" s="6">
        <v>1376</v>
      </c>
    </row>
    <row r="24" spans="1:17" x14ac:dyDescent="0.2">
      <c r="A24" s="6">
        <v>1884</v>
      </c>
      <c r="B24" s="6">
        <v>20.100000000000001</v>
      </c>
      <c r="C24" s="6"/>
      <c r="D24" s="6">
        <v>15.6</v>
      </c>
      <c r="E24" s="6"/>
      <c r="F24" s="6">
        <v>2.8</v>
      </c>
      <c r="G24" s="6">
        <v>7</v>
      </c>
      <c r="H24" s="6">
        <v>19.600000000000001</v>
      </c>
      <c r="I24" s="6">
        <v>15.5</v>
      </c>
      <c r="J24" s="6">
        <v>9</v>
      </c>
      <c r="K24" s="6">
        <v>4</v>
      </c>
      <c r="L24" s="6">
        <v>1</v>
      </c>
      <c r="M24" s="6">
        <v>6</v>
      </c>
      <c r="N24" s="10">
        <v>0.46300000000000002</v>
      </c>
      <c r="O24" s="6">
        <v>0.1</v>
      </c>
      <c r="P24" s="6">
        <v>1.99</v>
      </c>
      <c r="Q24" s="6">
        <v>1387</v>
      </c>
    </row>
    <row r="25" spans="1:17" x14ac:dyDescent="0.2">
      <c r="A25" s="6">
        <v>1885</v>
      </c>
      <c r="B25" s="6">
        <v>19.600000000000001</v>
      </c>
      <c r="C25" s="6"/>
      <c r="D25" s="6">
        <v>15.7</v>
      </c>
      <c r="E25" s="6"/>
      <c r="F25" s="6">
        <v>2.8</v>
      </c>
      <c r="G25" s="6">
        <v>7.1</v>
      </c>
      <c r="H25" s="6">
        <v>19.7</v>
      </c>
      <c r="I25" s="6">
        <v>15.6</v>
      </c>
      <c r="J25" s="6">
        <v>9</v>
      </c>
      <c r="K25" s="6">
        <v>4</v>
      </c>
      <c r="L25" s="6">
        <v>2</v>
      </c>
      <c r="M25" s="6">
        <v>6</v>
      </c>
      <c r="N25" s="10">
        <v>0.442</v>
      </c>
      <c r="O25" s="6">
        <v>0.1</v>
      </c>
      <c r="P25" s="6">
        <v>2.0099999999999998</v>
      </c>
      <c r="Q25" s="6">
        <v>1398</v>
      </c>
    </row>
    <row r="26" spans="1:17" x14ac:dyDescent="0.2">
      <c r="A26" s="6">
        <v>1886</v>
      </c>
      <c r="B26" s="6">
        <v>20.6</v>
      </c>
      <c r="C26" s="6"/>
      <c r="D26" s="6">
        <v>17.399999999999999</v>
      </c>
      <c r="E26" s="6"/>
      <c r="F26" s="6">
        <v>3.1</v>
      </c>
      <c r="G26" s="6">
        <v>7.8</v>
      </c>
      <c r="H26" s="6">
        <v>21.8</v>
      </c>
      <c r="I26" s="6">
        <v>17.3</v>
      </c>
      <c r="J26" s="6">
        <v>10</v>
      </c>
      <c r="K26" s="6">
        <v>5</v>
      </c>
      <c r="L26" s="6">
        <v>3</v>
      </c>
      <c r="M26" s="6">
        <v>6</v>
      </c>
      <c r="N26" s="10">
        <v>0.42499999999999999</v>
      </c>
      <c r="O26" s="6">
        <v>0.2</v>
      </c>
      <c r="P26" s="6">
        <v>2.04</v>
      </c>
      <c r="Q26" s="6">
        <v>1409</v>
      </c>
    </row>
    <row r="27" spans="1:17" x14ac:dyDescent="0.2">
      <c r="A27" s="6">
        <v>1887</v>
      </c>
      <c r="B27" s="6">
        <v>22.9</v>
      </c>
      <c r="C27" s="6"/>
      <c r="D27" s="6">
        <v>19.899999999999999</v>
      </c>
      <c r="E27" s="6"/>
      <c r="F27" s="6">
        <v>3.5</v>
      </c>
      <c r="G27" s="6">
        <v>8.8000000000000007</v>
      </c>
      <c r="H27" s="6">
        <v>24.8</v>
      </c>
      <c r="I27" s="6">
        <v>19.7</v>
      </c>
      <c r="J27" s="6">
        <v>12</v>
      </c>
      <c r="K27" s="6">
        <v>5</v>
      </c>
      <c r="L27" s="6">
        <v>4</v>
      </c>
      <c r="M27" s="6">
        <v>7</v>
      </c>
      <c r="N27" s="10">
        <v>0.41799999999999998</v>
      </c>
      <c r="O27" s="6">
        <v>0.2</v>
      </c>
      <c r="P27" s="6">
        <v>2.09</v>
      </c>
      <c r="Q27" s="6">
        <v>1420</v>
      </c>
    </row>
    <row r="28" spans="1:17" x14ac:dyDescent="0.2">
      <c r="A28" s="6">
        <v>1888</v>
      </c>
      <c r="B28" s="6">
        <v>24.1</v>
      </c>
      <c r="C28" s="6"/>
      <c r="D28" s="6">
        <v>20.8</v>
      </c>
      <c r="E28" s="6"/>
      <c r="F28" s="6">
        <v>3.6</v>
      </c>
      <c r="G28" s="6">
        <v>9.1</v>
      </c>
      <c r="H28" s="6">
        <v>25.8</v>
      </c>
      <c r="I28" s="6">
        <v>20.5</v>
      </c>
      <c r="J28" s="6">
        <v>12</v>
      </c>
      <c r="K28" s="6">
        <v>5</v>
      </c>
      <c r="L28" s="6">
        <v>3</v>
      </c>
      <c r="M28" s="6">
        <v>7</v>
      </c>
      <c r="N28" s="10">
        <v>0.39800000000000002</v>
      </c>
      <c r="O28" s="6">
        <v>0.2</v>
      </c>
      <c r="P28" s="6">
        <v>2.13</v>
      </c>
      <c r="Q28" s="6">
        <v>1431</v>
      </c>
    </row>
    <row r="29" spans="1:17" ht="17" thickBot="1" x14ac:dyDescent="0.25">
      <c r="A29" s="8">
        <v>1889</v>
      </c>
      <c r="B29" s="8">
        <v>26.2</v>
      </c>
      <c r="C29" s="8"/>
      <c r="D29" s="8">
        <v>21.9</v>
      </c>
      <c r="E29" s="8"/>
      <c r="F29" s="8">
        <v>3.7</v>
      </c>
      <c r="G29" s="8">
        <v>9.6</v>
      </c>
      <c r="H29" s="8">
        <v>27.1</v>
      </c>
      <c r="I29" s="8">
        <v>21.5</v>
      </c>
      <c r="J29" s="8">
        <v>13</v>
      </c>
      <c r="K29" s="8">
        <v>6</v>
      </c>
      <c r="L29" s="8">
        <v>3</v>
      </c>
      <c r="M29" s="8">
        <v>7</v>
      </c>
      <c r="N29" s="9">
        <v>0.35799999999999998</v>
      </c>
      <c r="O29" s="8">
        <v>0.2</v>
      </c>
      <c r="P29" s="8">
        <v>2.1800000000000002</v>
      </c>
      <c r="Q29" s="8">
        <v>1443</v>
      </c>
    </row>
    <row r="30" spans="1:17" x14ac:dyDescent="0.2">
      <c r="A30" s="6">
        <v>1890</v>
      </c>
      <c r="B30" s="6">
        <v>27.9</v>
      </c>
      <c r="C30" s="6"/>
      <c r="D30" s="6">
        <v>23.7</v>
      </c>
      <c r="E30" s="6"/>
      <c r="F30" s="6">
        <v>4</v>
      </c>
      <c r="G30" s="6">
        <v>10.3</v>
      </c>
      <c r="H30" s="6">
        <v>29.2</v>
      </c>
      <c r="I30" s="6">
        <v>23.2</v>
      </c>
      <c r="J30" s="6">
        <v>14</v>
      </c>
      <c r="K30" s="6">
        <v>6</v>
      </c>
      <c r="L30" s="6">
        <v>3</v>
      </c>
      <c r="M30" s="6">
        <v>7</v>
      </c>
      <c r="N30" s="10">
        <v>0.36399999999999999</v>
      </c>
      <c r="O30" s="6">
        <v>0.2</v>
      </c>
      <c r="P30" s="6">
        <v>2.2200000000000002</v>
      </c>
      <c r="Q30" s="6">
        <v>1454</v>
      </c>
    </row>
    <row r="31" spans="1:17" x14ac:dyDescent="0.2">
      <c r="A31" s="6">
        <v>1891</v>
      </c>
      <c r="B31" s="6">
        <v>26.4</v>
      </c>
      <c r="C31" s="6"/>
      <c r="D31" s="6">
        <v>22.8</v>
      </c>
      <c r="E31" s="6"/>
      <c r="F31" s="6">
        <v>3.8</v>
      </c>
      <c r="G31" s="6">
        <v>9.8000000000000007</v>
      </c>
      <c r="H31" s="6">
        <v>28</v>
      </c>
      <c r="I31" s="6">
        <v>22.2</v>
      </c>
      <c r="J31" s="6">
        <v>13</v>
      </c>
      <c r="K31" s="6">
        <v>6</v>
      </c>
      <c r="L31" s="6">
        <v>3</v>
      </c>
      <c r="M31" s="6">
        <v>8</v>
      </c>
      <c r="N31" s="10">
        <v>0.36899999999999999</v>
      </c>
      <c r="O31" s="6">
        <v>0.2</v>
      </c>
      <c r="P31" s="6">
        <v>2.2400000000000002</v>
      </c>
      <c r="Q31" s="6">
        <v>1465</v>
      </c>
    </row>
    <row r="32" spans="1:17" x14ac:dyDescent="0.2">
      <c r="A32" s="6">
        <v>1892</v>
      </c>
      <c r="B32" s="6">
        <v>27.1</v>
      </c>
      <c r="C32" s="6"/>
      <c r="D32" s="6">
        <v>23.3</v>
      </c>
      <c r="E32" s="6"/>
      <c r="F32" s="6">
        <v>3.8</v>
      </c>
      <c r="G32" s="6">
        <v>9.9</v>
      </c>
      <c r="H32" s="6">
        <v>28.4</v>
      </c>
      <c r="I32" s="6">
        <v>22.6</v>
      </c>
      <c r="J32" s="6">
        <v>13</v>
      </c>
      <c r="K32" s="6">
        <v>6</v>
      </c>
      <c r="L32" s="6">
        <v>3</v>
      </c>
      <c r="M32" s="6">
        <v>8</v>
      </c>
      <c r="N32" s="10">
        <v>0.36699999999999999</v>
      </c>
      <c r="O32" s="6">
        <v>0.2</v>
      </c>
      <c r="P32" s="6">
        <v>2.29</v>
      </c>
      <c r="Q32" s="6">
        <v>1476</v>
      </c>
    </row>
    <row r="33" spans="1:17" x14ac:dyDescent="0.2">
      <c r="A33" s="6">
        <v>1893</v>
      </c>
      <c r="B33" s="6">
        <v>25.3</v>
      </c>
      <c r="C33" s="6"/>
      <c r="D33" s="6">
        <v>22.3</v>
      </c>
      <c r="E33" s="6"/>
      <c r="F33" s="6">
        <v>3.6</v>
      </c>
      <c r="G33" s="6">
        <v>9.4</v>
      </c>
      <c r="H33" s="6">
        <v>27.1</v>
      </c>
      <c r="I33" s="6">
        <v>21.6</v>
      </c>
      <c r="J33" s="6">
        <v>13</v>
      </c>
      <c r="K33" s="6">
        <v>6</v>
      </c>
      <c r="L33" s="6">
        <v>3</v>
      </c>
      <c r="M33" s="6">
        <v>9</v>
      </c>
      <c r="N33" s="10">
        <v>0.39200000000000002</v>
      </c>
      <c r="O33" s="6">
        <v>0.2</v>
      </c>
      <c r="P33" s="6">
        <v>2.31</v>
      </c>
      <c r="Q33" s="6">
        <v>1487</v>
      </c>
    </row>
    <row r="34" spans="1:17" x14ac:dyDescent="0.2">
      <c r="A34" s="6">
        <v>1894</v>
      </c>
      <c r="B34" s="6">
        <v>26.1</v>
      </c>
      <c r="C34" s="6"/>
      <c r="D34" s="6">
        <v>23.2</v>
      </c>
      <c r="E34" s="6"/>
      <c r="F34" s="6">
        <v>3.8</v>
      </c>
      <c r="G34" s="6">
        <v>9.8000000000000007</v>
      </c>
      <c r="H34" s="6">
        <v>28.2</v>
      </c>
      <c r="I34" s="6">
        <v>22.4</v>
      </c>
      <c r="J34" s="6">
        <v>13</v>
      </c>
      <c r="K34" s="6">
        <v>6</v>
      </c>
      <c r="L34" s="6">
        <v>3</v>
      </c>
      <c r="M34" s="6">
        <v>9</v>
      </c>
      <c r="N34" s="10">
        <v>0.40600000000000003</v>
      </c>
      <c r="O34" s="6">
        <v>0.3</v>
      </c>
      <c r="P34" s="6">
        <v>2.36</v>
      </c>
      <c r="Q34" s="6">
        <v>1498</v>
      </c>
    </row>
    <row r="35" spans="1:17" x14ac:dyDescent="0.2">
      <c r="A35" s="6">
        <v>1895</v>
      </c>
      <c r="B35" s="6">
        <v>29.5</v>
      </c>
      <c r="C35" s="6"/>
      <c r="D35" s="6">
        <v>25.3</v>
      </c>
      <c r="E35" s="6"/>
      <c r="F35" s="6">
        <v>4</v>
      </c>
      <c r="G35" s="6">
        <v>10.5</v>
      </c>
      <c r="H35" s="6">
        <v>30.6</v>
      </c>
      <c r="I35" s="6">
        <v>24.3</v>
      </c>
      <c r="J35" s="6">
        <v>14</v>
      </c>
      <c r="K35" s="6">
        <v>6</v>
      </c>
      <c r="L35" s="6">
        <v>3</v>
      </c>
      <c r="M35" s="6">
        <v>9</v>
      </c>
      <c r="N35" s="10">
        <v>0.40100000000000002</v>
      </c>
      <c r="O35" s="6">
        <v>0.3</v>
      </c>
      <c r="P35" s="6">
        <v>2.44</v>
      </c>
      <c r="Q35" s="6">
        <v>1509</v>
      </c>
    </row>
    <row r="36" spans="1:17" x14ac:dyDescent="0.2">
      <c r="A36" s="6">
        <v>1896</v>
      </c>
      <c r="B36" s="6">
        <v>31.3</v>
      </c>
      <c r="C36" s="6"/>
      <c r="D36" s="6">
        <v>26.6</v>
      </c>
      <c r="E36" s="6"/>
      <c r="F36" s="6">
        <v>4.2</v>
      </c>
      <c r="G36" s="6">
        <v>11</v>
      </c>
      <c r="H36" s="6">
        <v>31.9</v>
      </c>
      <c r="I36" s="6">
        <v>25.4</v>
      </c>
      <c r="J36" s="6">
        <v>15</v>
      </c>
      <c r="K36" s="6">
        <v>7</v>
      </c>
      <c r="L36" s="6">
        <v>2</v>
      </c>
      <c r="M36" s="6">
        <v>10</v>
      </c>
      <c r="N36" s="10">
        <v>0.379</v>
      </c>
      <c r="O36" s="6">
        <v>0.3</v>
      </c>
      <c r="P36" s="6">
        <v>2.4500000000000002</v>
      </c>
      <c r="Q36" s="6">
        <v>1520</v>
      </c>
    </row>
    <row r="37" spans="1:17" x14ac:dyDescent="0.2">
      <c r="A37" s="6">
        <v>1897</v>
      </c>
      <c r="B37" s="6">
        <v>33.700000000000003</v>
      </c>
      <c r="C37" s="6"/>
      <c r="D37" s="6">
        <v>28.5</v>
      </c>
      <c r="E37" s="6"/>
      <c r="F37" s="6">
        <v>4.4000000000000004</v>
      </c>
      <c r="G37" s="6">
        <v>11.7</v>
      </c>
      <c r="H37" s="6">
        <v>34.1</v>
      </c>
      <c r="I37" s="6">
        <v>27.1</v>
      </c>
      <c r="J37" s="6">
        <v>16</v>
      </c>
      <c r="K37" s="6">
        <v>7</v>
      </c>
      <c r="L37" s="6">
        <v>2</v>
      </c>
      <c r="M37" s="6">
        <v>10</v>
      </c>
      <c r="N37" s="10">
        <v>0.34499999999999997</v>
      </c>
      <c r="O37" s="6">
        <v>0.3</v>
      </c>
      <c r="P37" s="6">
        <v>2.54</v>
      </c>
      <c r="Q37" s="6">
        <v>1532</v>
      </c>
    </row>
    <row r="38" spans="1:17" x14ac:dyDescent="0.2">
      <c r="A38" s="6">
        <v>1898</v>
      </c>
      <c r="B38" s="6">
        <v>36.700000000000003</v>
      </c>
      <c r="C38" s="6"/>
      <c r="D38" s="6">
        <v>33.200000000000003</v>
      </c>
      <c r="E38" s="6"/>
      <c r="F38" s="6">
        <v>5.0999999999999996</v>
      </c>
      <c r="G38" s="6">
        <v>13.5</v>
      </c>
      <c r="H38" s="6">
        <v>39.6</v>
      </c>
      <c r="I38" s="6">
        <v>31.6</v>
      </c>
      <c r="J38" s="6">
        <v>18</v>
      </c>
      <c r="K38" s="6">
        <v>8</v>
      </c>
      <c r="L38" s="6">
        <v>4</v>
      </c>
      <c r="M38" s="6">
        <v>10</v>
      </c>
      <c r="N38" s="10">
        <v>0.34399999999999997</v>
      </c>
      <c r="O38" s="6">
        <v>0.3</v>
      </c>
      <c r="P38" s="6">
        <v>2.62</v>
      </c>
      <c r="Q38" s="6">
        <v>1543</v>
      </c>
    </row>
    <row r="39" spans="1:17" ht="17" thickBot="1" x14ac:dyDescent="0.25">
      <c r="A39" s="8">
        <v>1899</v>
      </c>
      <c r="B39" s="8">
        <v>40.700000000000003</v>
      </c>
      <c r="C39" s="8"/>
      <c r="D39" s="8">
        <v>36</v>
      </c>
      <c r="E39" s="8"/>
      <c r="F39" s="8">
        <v>5.5</v>
      </c>
      <c r="G39" s="8">
        <v>14.5</v>
      </c>
      <c r="H39" s="8">
        <v>42.8</v>
      </c>
      <c r="I39" s="8">
        <v>34.1</v>
      </c>
      <c r="J39" s="8">
        <v>20</v>
      </c>
      <c r="K39" s="8">
        <v>9</v>
      </c>
      <c r="L39" s="8">
        <v>4</v>
      </c>
      <c r="M39" s="8">
        <v>11</v>
      </c>
      <c r="N39" s="9">
        <v>0.34200000000000003</v>
      </c>
      <c r="O39" s="8">
        <v>0.4</v>
      </c>
      <c r="P39" s="8">
        <v>2.7</v>
      </c>
      <c r="Q39" s="8">
        <v>1554</v>
      </c>
    </row>
    <row r="40" spans="1:17" x14ac:dyDescent="0.2">
      <c r="A40" s="6">
        <v>1900</v>
      </c>
      <c r="B40" s="6">
        <v>41.2</v>
      </c>
      <c r="C40" s="6"/>
      <c r="D40" s="6">
        <v>37.299999999999997</v>
      </c>
      <c r="E40" s="6"/>
      <c r="F40" s="6">
        <v>5.6</v>
      </c>
      <c r="G40" s="6">
        <v>14.9</v>
      </c>
      <c r="H40" s="6">
        <v>44.1</v>
      </c>
      <c r="I40" s="6">
        <v>35.200000000000003</v>
      </c>
      <c r="J40" s="6">
        <v>20</v>
      </c>
      <c r="K40" s="6">
        <v>9</v>
      </c>
      <c r="L40" s="6">
        <v>5</v>
      </c>
      <c r="M40" s="6">
        <v>11</v>
      </c>
      <c r="N40" s="10">
        <v>0.34300000000000003</v>
      </c>
      <c r="O40" s="6">
        <v>0.4</v>
      </c>
      <c r="P40" s="6">
        <v>2.75</v>
      </c>
      <c r="Q40" s="6">
        <v>1565</v>
      </c>
    </row>
    <row r="41" spans="1:17" x14ac:dyDescent="0.2">
      <c r="A41" s="6">
        <v>1901</v>
      </c>
      <c r="B41" s="6">
        <v>40.1</v>
      </c>
      <c r="C41" s="6"/>
      <c r="D41" s="6">
        <v>39.6</v>
      </c>
      <c r="E41" s="6"/>
      <c r="F41" s="6">
        <v>5.8</v>
      </c>
      <c r="G41" s="6">
        <v>15.6</v>
      </c>
      <c r="H41" s="6">
        <v>46.5</v>
      </c>
      <c r="I41" s="6">
        <v>37.1</v>
      </c>
      <c r="J41" s="6">
        <v>21</v>
      </c>
      <c r="K41" s="6">
        <v>9</v>
      </c>
      <c r="L41" s="6">
        <v>8</v>
      </c>
      <c r="M41" s="6">
        <v>12</v>
      </c>
      <c r="N41" s="10">
        <v>0.375</v>
      </c>
      <c r="O41" s="6">
        <v>0.4</v>
      </c>
      <c r="P41" s="6">
        <v>2.84</v>
      </c>
      <c r="Q41" s="6">
        <v>1581</v>
      </c>
    </row>
    <row r="42" spans="1:17" x14ac:dyDescent="0.2">
      <c r="A42" s="6">
        <v>1902</v>
      </c>
      <c r="B42" s="6">
        <v>43.8</v>
      </c>
      <c r="C42" s="6"/>
      <c r="D42" s="6">
        <v>42.7</v>
      </c>
      <c r="E42" s="6"/>
      <c r="F42" s="6">
        <v>6</v>
      </c>
      <c r="G42" s="6">
        <v>16.600000000000001</v>
      </c>
      <c r="H42" s="6">
        <v>49.7</v>
      </c>
      <c r="I42" s="6">
        <v>39.6</v>
      </c>
      <c r="J42" s="6">
        <v>23</v>
      </c>
      <c r="K42" s="6">
        <v>10</v>
      </c>
      <c r="L42" s="6">
        <v>7</v>
      </c>
      <c r="M42" s="6">
        <v>12</v>
      </c>
      <c r="N42" s="10">
        <v>0.40200000000000002</v>
      </c>
      <c r="O42" s="6">
        <v>0.4</v>
      </c>
      <c r="P42" s="6">
        <v>2.89</v>
      </c>
      <c r="Q42" s="6">
        <v>1597</v>
      </c>
    </row>
    <row r="43" spans="1:17" x14ac:dyDescent="0.2">
      <c r="A43" s="6">
        <v>1903</v>
      </c>
      <c r="B43" s="6">
        <v>46.3</v>
      </c>
      <c r="C43" s="6"/>
      <c r="D43" s="6">
        <v>43.9</v>
      </c>
      <c r="E43" s="6"/>
      <c r="F43" s="6">
        <v>6</v>
      </c>
      <c r="G43" s="6">
        <v>16.8</v>
      </c>
      <c r="H43" s="6">
        <v>50.7</v>
      </c>
      <c r="I43" s="6">
        <v>40.4</v>
      </c>
      <c r="J43" s="6">
        <v>23</v>
      </c>
      <c r="K43" s="6">
        <v>10</v>
      </c>
      <c r="L43" s="6">
        <v>6</v>
      </c>
      <c r="M43" s="6">
        <v>13</v>
      </c>
      <c r="N43" s="10">
        <v>0.40899999999999997</v>
      </c>
      <c r="O43" s="6">
        <v>0.5</v>
      </c>
      <c r="P43" s="6">
        <v>2.96</v>
      </c>
      <c r="Q43" s="6">
        <v>1613</v>
      </c>
    </row>
    <row r="44" spans="1:17" x14ac:dyDescent="0.2">
      <c r="A44" s="6">
        <v>1904</v>
      </c>
      <c r="B44" s="6">
        <v>45.4</v>
      </c>
      <c r="C44" s="6"/>
      <c r="D44" s="6">
        <v>43.7</v>
      </c>
      <c r="E44" s="6"/>
      <c r="F44" s="6">
        <v>5.8</v>
      </c>
      <c r="G44" s="6">
        <v>16.399999999999999</v>
      </c>
      <c r="H44" s="6">
        <v>50.1</v>
      </c>
      <c r="I44" s="6">
        <v>39.9</v>
      </c>
      <c r="J44" s="6">
        <v>23</v>
      </c>
      <c r="K44" s="6">
        <v>10</v>
      </c>
      <c r="L44" s="6">
        <v>6</v>
      </c>
      <c r="M44" s="6">
        <v>13</v>
      </c>
      <c r="N44" s="10">
        <v>0.41399999999999998</v>
      </c>
      <c r="O44" s="6">
        <v>0.5</v>
      </c>
      <c r="P44" s="6">
        <v>3.02</v>
      </c>
      <c r="Q44" s="6">
        <v>1629</v>
      </c>
    </row>
    <row r="45" spans="1:17" x14ac:dyDescent="0.2">
      <c r="A45" s="6">
        <v>1905</v>
      </c>
      <c r="B45" s="6">
        <v>54</v>
      </c>
      <c r="C45" s="6"/>
      <c r="D45" s="6">
        <v>51.9</v>
      </c>
      <c r="E45" s="6"/>
      <c r="F45" s="6">
        <v>6.6</v>
      </c>
      <c r="G45" s="6">
        <v>19.2</v>
      </c>
      <c r="H45" s="6">
        <v>59</v>
      </c>
      <c r="I45" s="6">
        <v>47</v>
      </c>
      <c r="J45" s="6">
        <v>26</v>
      </c>
      <c r="K45" s="6">
        <v>12</v>
      </c>
      <c r="L45" s="6">
        <v>6</v>
      </c>
      <c r="M45" s="6">
        <v>14</v>
      </c>
      <c r="N45" s="10">
        <v>0.42799999999999999</v>
      </c>
      <c r="O45" s="6">
        <v>0.5</v>
      </c>
      <c r="P45" s="6">
        <v>3.12</v>
      </c>
      <c r="Q45" s="6">
        <v>1645</v>
      </c>
    </row>
    <row r="46" spans="1:17" x14ac:dyDescent="0.2">
      <c r="A46" s="6">
        <v>1906</v>
      </c>
      <c r="B46" s="6">
        <v>58.6</v>
      </c>
      <c r="C46" s="6"/>
      <c r="D46" s="6">
        <v>58</v>
      </c>
      <c r="E46" s="6"/>
      <c r="F46" s="6">
        <v>7.1</v>
      </c>
      <c r="G46" s="6">
        <v>21.1</v>
      </c>
      <c r="H46" s="6">
        <v>65.3</v>
      </c>
      <c r="I46" s="6">
        <v>52.1</v>
      </c>
      <c r="J46" s="6">
        <v>29</v>
      </c>
      <c r="K46" s="6">
        <v>13</v>
      </c>
      <c r="L46" s="6">
        <v>8</v>
      </c>
      <c r="M46" s="6">
        <v>15</v>
      </c>
      <c r="N46" s="10">
        <v>0.45700000000000002</v>
      </c>
      <c r="O46" s="6">
        <v>0.6</v>
      </c>
      <c r="P46" s="6">
        <v>3.22</v>
      </c>
      <c r="Q46" s="6">
        <v>1661</v>
      </c>
    </row>
    <row r="47" spans="1:17" x14ac:dyDescent="0.2">
      <c r="A47" s="6">
        <v>1907</v>
      </c>
      <c r="B47" s="6">
        <v>60</v>
      </c>
      <c r="C47" s="6"/>
      <c r="D47" s="6">
        <v>59.5</v>
      </c>
      <c r="E47" s="6"/>
      <c r="F47" s="6">
        <v>7</v>
      </c>
      <c r="G47" s="6">
        <v>21.3</v>
      </c>
      <c r="H47" s="6">
        <v>66.5</v>
      </c>
      <c r="I47" s="6">
        <v>53</v>
      </c>
      <c r="J47" s="6">
        <v>30</v>
      </c>
      <c r="K47" s="6">
        <v>14</v>
      </c>
      <c r="L47" s="6">
        <v>7</v>
      </c>
      <c r="M47" s="6">
        <v>15</v>
      </c>
      <c r="N47" s="10">
        <v>0.48199999999999998</v>
      </c>
      <c r="O47" s="6">
        <v>0.6</v>
      </c>
      <c r="P47" s="6">
        <v>3.26</v>
      </c>
      <c r="Q47" s="6">
        <v>1676</v>
      </c>
    </row>
    <row r="48" spans="1:17" x14ac:dyDescent="0.2">
      <c r="A48" s="6">
        <v>1908</v>
      </c>
      <c r="B48" s="6">
        <v>47.7</v>
      </c>
      <c r="C48" s="6"/>
      <c r="D48" s="6">
        <v>47.7</v>
      </c>
      <c r="E48" s="6"/>
      <c r="F48" s="6">
        <v>5.4</v>
      </c>
      <c r="G48" s="6">
        <v>16.8</v>
      </c>
      <c r="H48" s="6">
        <v>52.8</v>
      </c>
      <c r="I48" s="6">
        <v>42.1</v>
      </c>
      <c r="J48" s="6">
        <v>24</v>
      </c>
      <c r="K48" s="6">
        <v>11</v>
      </c>
      <c r="L48" s="6">
        <v>6</v>
      </c>
      <c r="M48" s="6">
        <v>16</v>
      </c>
      <c r="N48" s="10">
        <v>0.47099999999999997</v>
      </c>
      <c r="O48" s="6">
        <v>0.6</v>
      </c>
      <c r="P48" s="6">
        <v>3.24</v>
      </c>
      <c r="Q48" s="6">
        <v>1692</v>
      </c>
    </row>
    <row r="49" spans="1:17" ht="17" thickBot="1" x14ac:dyDescent="0.25">
      <c r="A49" s="8">
        <v>1909</v>
      </c>
      <c r="B49" s="8">
        <v>59.4</v>
      </c>
      <c r="C49" s="8"/>
      <c r="D49" s="8">
        <v>60.2</v>
      </c>
      <c r="E49" s="8"/>
      <c r="F49" s="8">
        <v>6.5</v>
      </c>
      <c r="G49" s="8">
        <v>20.9</v>
      </c>
      <c r="H49" s="8">
        <v>66.2</v>
      </c>
      <c r="I49" s="8">
        <v>52.7</v>
      </c>
      <c r="J49" s="8">
        <v>29</v>
      </c>
      <c r="K49" s="8">
        <v>13</v>
      </c>
      <c r="L49" s="8">
        <v>7</v>
      </c>
      <c r="M49" s="8">
        <v>17</v>
      </c>
      <c r="N49" s="9">
        <v>0.47699999999999998</v>
      </c>
      <c r="O49" s="8">
        <v>0.7</v>
      </c>
      <c r="P49" s="8">
        <v>3.4</v>
      </c>
      <c r="Q49" s="8">
        <v>1708</v>
      </c>
    </row>
    <row r="50" spans="1:17" x14ac:dyDescent="0.2">
      <c r="A50" s="6">
        <v>1910</v>
      </c>
      <c r="B50" s="6">
        <v>66</v>
      </c>
      <c r="C50" s="6"/>
      <c r="D50" s="6">
        <v>66</v>
      </c>
      <c r="E50" s="6"/>
      <c r="F50" s="6">
        <v>7</v>
      </c>
      <c r="G50" s="6">
        <v>23</v>
      </c>
      <c r="H50" s="6">
        <v>72</v>
      </c>
      <c r="I50" s="6">
        <v>57</v>
      </c>
      <c r="J50" s="6">
        <v>32</v>
      </c>
      <c r="K50" s="6">
        <v>15</v>
      </c>
      <c r="L50" s="6">
        <v>6</v>
      </c>
      <c r="M50" s="6">
        <v>18</v>
      </c>
      <c r="N50" s="10">
        <v>0.47</v>
      </c>
      <c r="O50" s="6">
        <v>0.7</v>
      </c>
      <c r="P50" s="6">
        <v>3.45</v>
      </c>
      <c r="Q50" s="6">
        <v>1724</v>
      </c>
    </row>
    <row r="51" spans="1:17" x14ac:dyDescent="0.2">
      <c r="A51" s="6">
        <v>1911</v>
      </c>
      <c r="B51" s="6">
        <v>64</v>
      </c>
      <c r="C51" s="6"/>
      <c r="D51" s="6">
        <v>66</v>
      </c>
      <c r="E51" s="6"/>
      <c r="F51" s="6">
        <v>7</v>
      </c>
      <c r="G51" s="6">
        <v>22</v>
      </c>
      <c r="H51" s="6">
        <v>72</v>
      </c>
      <c r="I51" s="6">
        <v>57</v>
      </c>
      <c r="J51" s="6">
        <v>32</v>
      </c>
      <c r="K51" s="6">
        <v>15</v>
      </c>
      <c r="L51" s="6">
        <v>8</v>
      </c>
      <c r="M51" s="6">
        <v>18</v>
      </c>
      <c r="N51" s="10">
        <v>0.45200000000000001</v>
      </c>
      <c r="O51" s="6">
        <v>0.7</v>
      </c>
      <c r="P51" s="6">
        <v>3.54</v>
      </c>
      <c r="Q51" s="6">
        <v>1740</v>
      </c>
    </row>
    <row r="52" spans="1:17" x14ac:dyDescent="0.2">
      <c r="A52" s="6">
        <v>1912</v>
      </c>
      <c r="B52" s="6">
        <v>73</v>
      </c>
      <c r="C52" s="6"/>
      <c r="D52" s="6">
        <v>78</v>
      </c>
      <c r="E52" s="6"/>
      <c r="F52" s="6">
        <v>8</v>
      </c>
      <c r="G52" s="6">
        <v>26</v>
      </c>
      <c r="H52" s="6">
        <v>84</v>
      </c>
      <c r="I52" s="6">
        <v>67</v>
      </c>
      <c r="J52" s="6">
        <v>37</v>
      </c>
      <c r="K52" s="6">
        <v>17</v>
      </c>
      <c r="L52" s="6">
        <v>11</v>
      </c>
      <c r="M52" s="6">
        <v>19</v>
      </c>
      <c r="N52" s="10">
        <v>0.45700000000000002</v>
      </c>
      <c r="O52" s="6">
        <v>0.8</v>
      </c>
      <c r="P52" s="6">
        <v>3.66</v>
      </c>
      <c r="Q52" s="6">
        <v>1756</v>
      </c>
    </row>
    <row r="53" spans="1:17" x14ac:dyDescent="0.2">
      <c r="A53" s="6">
        <v>1913</v>
      </c>
      <c r="B53" s="6">
        <v>79</v>
      </c>
      <c r="C53" s="6"/>
      <c r="D53" s="6">
        <v>82</v>
      </c>
      <c r="E53" s="6"/>
      <c r="F53" s="6">
        <v>8</v>
      </c>
      <c r="G53" s="6">
        <v>26</v>
      </c>
      <c r="H53" s="6">
        <v>87</v>
      </c>
      <c r="I53" s="6">
        <v>70</v>
      </c>
      <c r="J53" s="6">
        <v>38</v>
      </c>
      <c r="K53" s="6">
        <v>18</v>
      </c>
      <c r="L53" s="6">
        <v>10</v>
      </c>
      <c r="M53" s="6">
        <v>20</v>
      </c>
      <c r="N53" s="10">
        <v>0.45900000000000002</v>
      </c>
      <c r="O53" s="6">
        <v>0.8</v>
      </c>
      <c r="P53" s="6">
        <v>3.75</v>
      </c>
      <c r="Q53" s="6">
        <v>1772</v>
      </c>
    </row>
    <row r="54" spans="1:17" x14ac:dyDescent="0.2">
      <c r="A54" s="6">
        <v>1914</v>
      </c>
      <c r="B54" s="6">
        <v>56</v>
      </c>
      <c r="C54" s="6"/>
      <c r="D54" s="6">
        <v>65</v>
      </c>
      <c r="E54" s="6"/>
      <c r="F54" s="6">
        <v>7</v>
      </c>
      <c r="G54" s="6">
        <v>21</v>
      </c>
      <c r="H54" s="6">
        <v>70</v>
      </c>
      <c r="I54" s="6">
        <v>56</v>
      </c>
      <c r="J54" s="6">
        <v>30</v>
      </c>
      <c r="K54" s="6">
        <v>14</v>
      </c>
      <c r="L54" s="6">
        <v>14</v>
      </c>
      <c r="M54" s="6">
        <v>21</v>
      </c>
      <c r="N54" s="10">
        <v>0.48199999999999998</v>
      </c>
      <c r="O54" s="6">
        <v>0.9</v>
      </c>
      <c r="P54" s="6">
        <v>3.6</v>
      </c>
      <c r="Q54" s="6">
        <v>1789</v>
      </c>
    </row>
    <row r="55" spans="1:17" x14ac:dyDescent="0.2">
      <c r="A55" s="6">
        <v>1915</v>
      </c>
      <c r="B55" s="6">
        <v>51</v>
      </c>
      <c r="C55" s="6"/>
      <c r="D55" s="6">
        <v>71</v>
      </c>
      <c r="E55" s="6"/>
      <c r="F55" s="6">
        <v>7</v>
      </c>
      <c r="G55" s="6">
        <v>22</v>
      </c>
      <c r="H55" s="6">
        <v>75</v>
      </c>
      <c r="I55" s="6">
        <v>60</v>
      </c>
      <c r="J55" s="6">
        <v>32</v>
      </c>
      <c r="K55" s="6">
        <v>15</v>
      </c>
      <c r="L55" s="6">
        <v>24</v>
      </c>
      <c r="M55" s="6">
        <v>22</v>
      </c>
      <c r="N55" s="10">
        <v>0.55800000000000005</v>
      </c>
      <c r="O55" s="6">
        <v>0.9</v>
      </c>
      <c r="P55" s="6">
        <v>3.63</v>
      </c>
      <c r="Q55" s="6">
        <v>1805</v>
      </c>
    </row>
    <row r="56" spans="1:17" x14ac:dyDescent="0.2">
      <c r="A56" s="6">
        <v>1916</v>
      </c>
      <c r="B56" s="6">
        <v>75</v>
      </c>
      <c r="C56" s="6"/>
      <c r="D56" s="6">
        <v>82</v>
      </c>
      <c r="E56" s="6"/>
      <c r="F56" s="6">
        <v>8</v>
      </c>
      <c r="G56" s="6">
        <v>25</v>
      </c>
      <c r="H56" s="6">
        <v>87</v>
      </c>
      <c r="I56" s="6">
        <v>69</v>
      </c>
      <c r="J56" s="6">
        <v>37</v>
      </c>
      <c r="K56" s="6">
        <v>17</v>
      </c>
      <c r="L56" s="6">
        <v>13</v>
      </c>
      <c r="M56" s="6">
        <v>23</v>
      </c>
      <c r="N56" s="10">
        <v>0.55700000000000005</v>
      </c>
      <c r="O56" s="6">
        <v>1</v>
      </c>
      <c r="P56" s="6">
        <v>3.86</v>
      </c>
      <c r="Q56" s="6">
        <v>1822</v>
      </c>
    </row>
    <row r="57" spans="1:17" x14ac:dyDescent="0.2">
      <c r="A57" s="6">
        <v>1917</v>
      </c>
      <c r="B57" s="6">
        <v>73</v>
      </c>
      <c r="C57" s="6"/>
      <c r="D57" s="6">
        <v>86</v>
      </c>
      <c r="E57" s="6"/>
      <c r="F57" s="6">
        <v>8</v>
      </c>
      <c r="G57" s="6">
        <v>26</v>
      </c>
      <c r="H57" s="6">
        <v>90</v>
      </c>
      <c r="I57" s="6">
        <v>72</v>
      </c>
      <c r="J57" s="6">
        <v>38</v>
      </c>
      <c r="K57" s="6">
        <v>18</v>
      </c>
      <c r="L57" s="6">
        <v>18</v>
      </c>
      <c r="M57" s="6">
        <v>25</v>
      </c>
      <c r="N57" s="10">
        <v>0.58199999999999996</v>
      </c>
      <c r="O57" s="6">
        <v>1</v>
      </c>
      <c r="P57" s="6">
        <v>3.87</v>
      </c>
      <c r="Q57" s="6">
        <v>1838</v>
      </c>
    </row>
    <row r="58" spans="1:17" x14ac:dyDescent="0.2">
      <c r="A58" s="6">
        <v>1918</v>
      </c>
      <c r="B58" s="6">
        <v>66</v>
      </c>
      <c r="C58" s="6"/>
      <c r="D58" s="6">
        <v>81</v>
      </c>
      <c r="E58" s="6"/>
      <c r="F58" s="6">
        <v>8</v>
      </c>
      <c r="G58" s="6">
        <v>24</v>
      </c>
      <c r="H58" s="6">
        <v>84</v>
      </c>
      <c r="I58" s="6">
        <v>67</v>
      </c>
      <c r="J58" s="6">
        <v>35</v>
      </c>
      <c r="K58" s="6">
        <v>17</v>
      </c>
      <c r="L58" s="6">
        <v>18</v>
      </c>
      <c r="M58" s="6">
        <v>26</v>
      </c>
      <c r="N58" s="10">
        <v>0.61299999999999999</v>
      </c>
      <c r="O58" s="6">
        <v>1</v>
      </c>
      <c r="P58" s="6">
        <v>3.92</v>
      </c>
      <c r="Q58" s="6">
        <v>1855</v>
      </c>
    </row>
    <row r="59" spans="1:17" ht="17" thickBot="1" x14ac:dyDescent="0.25">
      <c r="A59" s="8">
        <v>1919</v>
      </c>
      <c r="B59" s="8">
        <v>52</v>
      </c>
      <c r="C59" s="8"/>
      <c r="D59" s="8">
        <v>61</v>
      </c>
      <c r="E59" s="8">
        <v>0</v>
      </c>
      <c r="F59" s="8">
        <v>6</v>
      </c>
      <c r="G59" s="8">
        <v>18</v>
      </c>
      <c r="H59" s="8">
        <v>64</v>
      </c>
      <c r="I59" s="8">
        <v>51</v>
      </c>
      <c r="J59" s="8">
        <v>27</v>
      </c>
      <c r="K59" s="8">
        <v>13</v>
      </c>
      <c r="L59" s="8">
        <v>12</v>
      </c>
      <c r="M59" s="8">
        <v>27</v>
      </c>
      <c r="N59" s="9">
        <v>0.60399999999999998</v>
      </c>
      <c r="O59" s="8">
        <v>1.1000000000000001</v>
      </c>
      <c r="P59" s="8">
        <v>3.86</v>
      </c>
      <c r="Q59" s="8">
        <v>1871</v>
      </c>
    </row>
    <row r="60" spans="1:17" x14ac:dyDescent="0.2">
      <c r="A60" s="6">
        <v>1920</v>
      </c>
      <c r="B60" s="6">
        <v>62</v>
      </c>
      <c r="C60" s="6"/>
      <c r="D60" s="6">
        <v>75</v>
      </c>
      <c r="E60" s="6">
        <v>0</v>
      </c>
      <c r="F60" s="6">
        <v>7</v>
      </c>
      <c r="G60" s="6">
        <v>21</v>
      </c>
      <c r="H60" s="6">
        <v>77</v>
      </c>
      <c r="I60" s="6">
        <v>62</v>
      </c>
      <c r="J60" s="6">
        <v>32</v>
      </c>
      <c r="K60" s="6">
        <v>15</v>
      </c>
      <c r="L60" s="6">
        <v>16</v>
      </c>
      <c r="M60" s="6">
        <v>28</v>
      </c>
      <c r="N60" s="10">
        <v>0.61699999999999999</v>
      </c>
      <c r="O60" s="6">
        <v>1.1000000000000001</v>
      </c>
      <c r="P60" s="6">
        <v>3.86</v>
      </c>
      <c r="Q60" s="6">
        <v>1888</v>
      </c>
    </row>
    <row r="61" spans="1:17" x14ac:dyDescent="0.2">
      <c r="A61" s="6">
        <v>1921</v>
      </c>
      <c r="B61" s="6">
        <v>37</v>
      </c>
      <c r="C61" s="6"/>
      <c r="D61" s="6">
        <v>46</v>
      </c>
      <c r="E61" s="6">
        <v>0</v>
      </c>
      <c r="F61" s="6">
        <v>4</v>
      </c>
      <c r="G61" s="6">
        <v>13</v>
      </c>
      <c r="H61" s="6">
        <v>47</v>
      </c>
      <c r="I61" s="6">
        <v>38</v>
      </c>
      <c r="J61" s="6">
        <v>19</v>
      </c>
      <c r="K61" s="6">
        <v>9</v>
      </c>
      <c r="L61" s="6">
        <v>10</v>
      </c>
      <c r="M61" s="6">
        <v>29</v>
      </c>
      <c r="N61" s="10">
        <v>0.59899999999999998</v>
      </c>
      <c r="O61" s="6">
        <v>1.1000000000000001</v>
      </c>
      <c r="P61" s="6">
        <v>3.91</v>
      </c>
      <c r="Q61" s="6">
        <v>1906</v>
      </c>
    </row>
    <row r="62" spans="1:17" x14ac:dyDescent="0.2">
      <c r="A62" s="6">
        <v>1922</v>
      </c>
      <c r="B62" s="6">
        <v>55</v>
      </c>
      <c r="C62" s="6"/>
      <c r="D62" s="6">
        <v>71</v>
      </c>
      <c r="E62" s="6">
        <v>1</v>
      </c>
      <c r="F62" s="6">
        <v>6</v>
      </c>
      <c r="G62" s="6">
        <v>19</v>
      </c>
      <c r="H62" s="6">
        <v>72</v>
      </c>
      <c r="I62" s="6">
        <v>57</v>
      </c>
      <c r="J62" s="6">
        <v>30</v>
      </c>
      <c r="K62" s="6">
        <v>14</v>
      </c>
      <c r="L62" s="6">
        <v>17</v>
      </c>
      <c r="M62" s="6">
        <v>31</v>
      </c>
      <c r="N62" s="10">
        <v>0.59399999999999997</v>
      </c>
      <c r="O62" s="6">
        <v>1.1000000000000001</v>
      </c>
      <c r="P62" s="6">
        <v>4.12</v>
      </c>
      <c r="Q62" s="6">
        <v>1923</v>
      </c>
    </row>
    <row r="63" spans="1:17" x14ac:dyDescent="0.2">
      <c r="A63" s="6">
        <v>1923</v>
      </c>
      <c r="B63" s="6">
        <v>69</v>
      </c>
      <c r="C63" s="6"/>
      <c r="D63" s="6">
        <v>80</v>
      </c>
      <c r="E63" s="6">
        <v>1</v>
      </c>
      <c r="F63" s="6">
        <v>6</v>
      </c>
      <c r="G63" s="6">
        <v>21</v>
      </c>
      <c r="H63" s="6">
        <v>81</v>
      </c>
      <c r="I63" s="6">
        <v>65</v>
      </c>
      <c r="J63" s="6">
        <v>33</v>
      </c>
      <c r="K63" s="6">
        <v>16</v>
      </c>
      <c r="L63" s="6">
        <v>13</v>
      </c>
      <c r="M63" s="6">
        <v>32</v>
      </c>
      <c r="N63" s="10">
        <v>0.58099999999999996</v>
      </c>
      <c r="O63" s="6">
        <v>1.2</v>
      </c>
      <c r="P63" s="6">
        <v>4.2699999999999996</v>
      </c>
      <c r="Q63" s="6">
        <v>1941</v>
      </c>
    </row>
    <row r="64" spans="1:17" x14ac:dyDescent="0.2">
      <c r="A64" s="6">
        <v>1924</v>
      </c>
      <c r="B64" s="6">
        <v>67</v>
      </c>
      <c r="C64" s="6"/>
      <c r="D64" s="6">
        <v>80</v>
      </c>
      <c r="E64" s="6">
        <v>1</v>
      </c>
      <c r="F64" s="6">
        <v>6</v>
      </c>
      <c r="G64" s="6">
        <v>21</v>
      </c>
      <c r="H64" s="6">
        <v>80</v>
      </c>
      <c r="I64" s="6">
        <v>64</v>
      </c>
      <c r="J64" s="6">
        <v>33</v>
      </c>
      <c r="K64" s="6">
        <v>16</v>
      </c>
      <c r="L64" s="6">
        <v>14</v>
      </c>
      <c r="M64" s="6">
        <v>33</v>
      </c>
      <c r="N64" s="10">
        <v>0.55800000000000005</v>
      </c>
      <c r="O64" s="6">
        <v>1.2</v>
      </c>
      <c r="P64" s="6">
        <v>4.46</v>
      </c>
      <c r="Q64" s="6">
        <v>1959</v>
      </c>
    </row>
    <row r="65" spans="1:17" x14ac:dyDescent="0.2">
      <c r="A65" s="6">
        <v>1925</v>
      </c>
      <c r="B65" s="6">
        <v>75</v>
      </c>
      <c r="C65" s="6"/>
      <c r="D65" s="6">
        <v>92</v>
      </c>
      <c r="E65" s="6">
        <v>1</v>
      </c>
      <c r="F65" s="6">
        <v>6</v>
      </c>
      <c r="G65" s="6">
        <v>23</v>
      </c>
      <c r="H65" s="6">
        <v>91</v>
      </c>
      <c r="I65" s="6">
        <v>73</v>
      </c>
      <c r="J65" s="6">
        <v>37</v>
      </c>
      <c r="K65" s="6">
        <v>18</v>
      </c>
      <c r="L65" s="6">
        <v>16</v>
      </c>
      <c r="M65" s="6">
        <v>34</v>
      </c>
      <c r="N65" s="10">
        <v>0.50900000000000001</v>
      </c>
      <c r="O65" s="6">
        <v>1.2</v>
      </c>
      <c r="P65" s="6">
        <v>4.6100000000000003</v>
      </c>
      <c r="Q65" s="6">
        <v>1976</v>
      </c>
    </row>
    <row r="66" spans="1:17" x14ac:dyDescent="0.2">
      <c r="A66" s="6">
        <v>1926</v>
      </c>
      <c r="B66" s="6">
        <v>77</v>
      </c>
      <c r="C66" s="6"/>
      <c r="D66" s="6">
        <v>95</v>
      </c>
      <c r="E66" s="6">
        <v>1</v>
      </c>
      <c r="F66" s="6">
        <v>6</v>
      </c>
      <c r="G66" s="6">
        <v>23</v>
      </c>
      <c r="H66" s="6">
        <v>93</v>
      </c>
      <c r="I66" s="6">
        <v>74</v>
      </c>
      <c r="J66" s="6">
        <v>38</v>
      </c>
      <c r="K66" s="6">
        <v>19</v>
      </c>
      <c r="L66" s="6">
        <v>17</v>
      </c>
      <c r="M66" s="6">
        <v>35</v>
      </c>
      <c r="N66" s="10">
        <v>0.503</v>
      </c>
      <c r="O66" s="6">
        <v>1.3</v>
      </c>
      <c r="P66" s="6">
        <v>4.75</v>
      </c>
      <c r="Q66" s="6">
        <v>1994</v>
      </c>
    </row>
    <row r="67" spans="1:17" x14ac:dyDescent="0.2">
      <c r="A67" s="6">
        <v>1927</v>
      </c>
      <c r="B67" s="6">
        <v>85</v>
      </c>
      <c r="C67" s="6"/>
      <c r="D67" s="6">
        <v>102</v>
      </c>
      <c r="E67" s="6">
        <v>1</v>
      </c>
      <c r="F67" s="6">
        <v>6</v>
      </c>
      <c r="G67" s="6">
        <v>25</v>
      </c>
      <c r="H67" s="6">
        <v>99</v>
      </c>
      <c r="I67" s="6">
        <v>79</v>
      </c>
      <c r="J67" s="6">
        <v>41</v>
      </c>
      <c r="K67" s="6">
        <v>20</v>
      </c>
      <c r="L67" s="6">
        <v>15</v>
      </c>
      <c r="M67" s="6">
        <v>36</v>
      </c>
      <c r="N67" s="10">
        <v>0.47599999999999998</v>
      </c>
      <c r="O67" s="6">
        <v>1.3</v>
      </c>
      <c r="P67" s="6">
        <v>4.88</v>
      </c>
      <c r="Q67" s="6">
        <v>2012</v>
      </c>
    </row>
    <row r="68" spans="1:17" x14ac:dyDescent="0.2">
      <c r="A68" s="6">
        <v>1928</v>
      </c>
      <c r="B68" s="6">
        <v>86</v>
      </c>
      <c r="C68" s="6"/>
      <c r="D68" s="6">
        <v>110</v>
      </c>
      <c r="E68" s="6">
        <v>1</v>
      </c>
      <c r="F68" s="6">
        <v>6</v>
      </c>
      <c r="G68" s="6">
        <v>26</v>
      </c>
      <c r="H68" s="6">
        <v>105</v>
      </c>
      <c r="I68" s="6">
        <v>84</v>
      </c>
      <c r="J68" s="6">
        <v>44</v>
      </c>
      <c r="K68" s="6">
        <v>21</v>
      </c>
      <c r="L68" s="6">
        <v>20</v>
      </c>
      <c r="M68" s="6">
        <v>37</v>
      </c>
      <c r="N68" s="10">
        <v>0.46500000000000002</v>
      </c>
      <c r="O68" s="6">
        <v>1.4</v>
      </c>
      <c r="P68" s="6">
        <v>5.03</v>
      </c>
      <c r="Q68" s="6">
        <v>2029</v>
      </c>
    </row>
    <row r="69" spans="1:17" ht="17" thickBot="1" x14ac:dyDescent="0.25">
      <c r="A69" s="8">
        <v>1929</v>
      </c>
      <c r="B69" s="8">
        <v>96</v>
      </c>
      <c r="C69" s="8"/>
      <c r="D69" s="8">
        <v>121</v>
      </c>
      <c r="E69" s="8">
        <v>2</v>
      </c>
      <c r="F69" s="8">
        <v>6</v>
      </c>
      <c r="G69" s="8">
        <v>28</v>
      </c>
      <c r="H69" s="8">
        <v>115</v>
      </c>
      <c r="I69" s="8">
        <v>92</v>
      </c>
      <c r="J69" s="8">
        <v>47</v>
      </c>
      <c r="K69" s="8">
        <v>23</v>
      </c>
      <c r="L69" s="8">
        <v>20</v>
      </c>
      <c r="M69" s="8">
        <v>38</v>
      </c>
      <c r="N69" s="9">
        <v>0.47399999999999998</v>
      </c>
      <c r="O69" s="8">
        <v>1.4</v>
      </c>
      <c r="P69" s="8">
        <v>5.21</v>
      </c>
      <c r="Q69" s="8">
        <v>2047</v>
      </c>
    </row>
    <row r="70" spans="1:17" x14ac:dyDescent="0.2">
      <c r="A70" s="6">
        <v>1930</v>
      </c>
      <c r="B70" s="6">
        <v>78</v>
      </c>
      <c r="C70" s="6"/>
      <c r="D70" s="6">
        <v>95</v>
      </c>
      <c r="E70" s="6">
        <v>1</v>
      </c>
      <c r="F70" s="6">
        <v>4</v>
      </c>
      <c r="G70" s="6">
        <v>21</v>
      </c>
      <c r="H70" s="6">
        <v>89</v>
      </c>
      <c r="I70" s="6">
        <v>72</v>
      </c>
      <c r="J70" s="6">
        <v>37</v>
      </c>
      <c r="K70" s="6">
        <v>18</v>
      </c>
      <c r="L70" s="6">
        <v>12</v>
      </c>
      <c r="M70" s="6">
        <v>39</v>
      </c>
      <c r="N70" s="10">
        <v>0.44900000000000001</v>
      </c>
      <c r="O70" s="6">
        <v>1.5</v>
      </c>
      <c r="P70" s="6">
        <v>5.0599999999999996</v>
      </c>
      <c r="Q70" s="6">
        <v>2070</v>
      </c>
    </row>
    <row r="71" spans="1:17" x14ac:dyDescent="0.2">
      <c r="A71" s="6">
        <v>1931</v>
      </c>
      <c r="B71" s="6">
        <v>54</v>
      </c>
      <c r="C71" s="6"/>
      <c r="D71" s="6">
        <v>70</v>
      </c>
      <c r="E71" s="6">
        <v>1</v>
      </c>
      <c r="F71" s="6">
        <v>3</v>
      </c>
      <c r="G71" s="6">
        <v>15</v>
      </c>
      <c r="H71" s="6">
        <v>65</v>
      </c>
      <c r="I71" s="6">
        <v>52</v>
      </c>
      <c r="J71" s="6">
        <v>27</v>
      </c>
      <c r="K71" s="6">
        <v>13</v>
      </c>
      <c r="L71" s="6">
        <v>12</v>
      </c>
      <c r="M71" s="6">
        <v>40</v>
      </c>
      <c r="N71" s="10">
        <v>0.439</v>
      </c>
      <c r="O71" s="6">
        <v>1.5</v>
      </c>
      <c r="P71" s="6">
        <v>4.8899999999999997</v>
      </c>
      <c r="Q71" s="6">
        <v>2093</v>
      </c>
    </row>
    <row r="72" spans="1:17" x14ac:dyDescent="0.2">
      <c r="A72" s="6">
        <v>1932</v>
      </c>
      <c r="B72" s="6">
        <v>38</v>
      </c>
      <c r="C72" s="6"/>
      <c r="D72" s="6">
        <v>50</v>
      </c>
      <c r="E72" s="6">
        <v>1</v>
      </c>
      <c r="F72" s="6">
        <v>3</v>
      </c>
      <c r="G72" s="6">
        <v>10</v>
      </c>
      <c r="H72" s="6">
        <v>47</v>
      </c>
      <c r="I72" s="6">
        <v>37</v>
      </c>
      <c r="J72" s="6">
        <v>19</v>
      </c>
      <c r="K72" s="6">
        <v>9</v>
      </c>
      <c r="L72" s="6">
        <v>9</v>
      </c>
      <c r="M72" s="6">
        <v>41</v>
      </c>
      <c r="N72" s="10">
        <v>0.40400000000000003</v>
      </c>
      <c r="O72" s="6">
        <v>1.5</v>
      </c>
      <c r="P72" s="6">
        <v>4.72</v>
      </c>
      <c r="Q72" s="6">
        <v>2116</v>
      </c>
    </row>
    <row r="73" spans="1:17" x14ac:dyDescent="0.2">
      <c r="A73" s="6">
        <v>1933</v>
      </c>
      <c r="B73" s="6">
        <v>48</v>
      </c>
      <c r="C73" s="6"/>
      <c r="D73" s="6">
        <v>68</v>
      </c>
      <c r="E73" s="6">
        <v>2</v>
      </c>
      <c r="F73" s="6">
        <v>4</v>
      </c>
      <c r="G73" s="6">
        <v>14</v>
      </c>
      <c r="H73" s="6">
        <v>64</v>
      </c>
      <c r="I73" s="6">
        <v>51</v>
      </c>
      <c r="J73" s="6">
        <v>25</v>
      </c>
      <c r="K73" s="6">
        <v>13</v>
      </c>
      <c r="L73" s="6">
        <v>16</v>
      </c>
      <c r="M73" s="6">
        <v>42</v>
      </c>
      <c r="N73" s="10">
        <v>0.40200000000000002</v>
      </c>
      <c r="O73" s="6">
        <v>1.5</v>
      </c>
      <c r="P73" s="6">
        <v>4.8099999999999996</v>
      </c>
      <c r="Q73" s="6">
        <v>2139</v>
      </c>
    </row>
    <row r="74" spans="1:17" x14ac:dyDescent="0.2">
      <c r="A74" s="6">
        <v>1934</v>
      </c>
      <c r="B74" s="6">
        <v>61</v>
      </c>
      <c r="C74" s="6"/>
      <c r="D74" s="6">
        <v>83</v>
      </c>
      <c r="E74" s="6">
        <v>3</v>
      </c>
      <c r="F74" s="6">
        <v>5</v>
      </c>
      <c r="G74" s="6">
        <v>16</v>
      </c>
      <c r="H74" s="6">
        <v>77</v>
      </c>
      <c r="I74" s="6">
        <v>62</v>
      </c>
      <c r="J74" s="6">
        <v>30</v>
      </c>
      <c r="K74" s="6">
        <v>15</v>
      </c>
      <c r="L74" s="6">
        <v>16</v>
      </c>
      <c r="M74" s="6">
        <v>43</v>
      </c>
      <c r="N74" s="10">
        <v>0.39700000000000002</v>
      </c>
      <c r="O74" s="6">
        <v>1.5</v>
      </c>
      <c r="P74" s="6">
        <v>4.97</v>
      </c>
      <c r="Q74" s="6">
        <v>2162</v>
      </c>
    </row>
    <row r="75" spans="1:17" x14ac:dyDescent="0.2">
      <c r="A75" s="6">
        <v>1935</v>
      </c>
      <c r="B75" s="6">
        <v>74</v>
      </c>
      <c r="C75" s="6"/>
      <c r="D75" s="6">
        <v>100</v>
      </c>
      <c r="E75" s="6">
        <v>3</v>
      </c>
      <c r="F75" s="6">
        <v>6</v>
      </c>
      <c r="G75" s="6">
        <v>19</v>
      </c>
      <c r="H75" s="6">
        <v>93</v>
      </c>
      <c r="I75" s="6">
        <v>75</v>
      </c>
      <c r="J75" s="6">
        <v>36</v>
      </c>
      <c r="K75" s="6">
        <v>18</v>
      </c>
      <c r="L75" s="6">
        <v>19</v>
      </c>
      <c r="M75" s="6">
        <v>43</v>
      </c>
      <c r="N75" s="10">
        <v>0.39400000000000002</v>
      </c>
      <c r="O75" s="6">
        <v>1.5</v>
      </c>
      <c r="P75" s="6">
        <v>5.21</v>
      </c>
      <c r="Q75" s="6">
        <v>2185</v>
      </c>
    </row>
    <row r="76" spans="1:17" x14ac:dyDescent="0.2">
      <c r="A76" s="6">
        <v>1936</v>
      </c>
      <c r="B76" s="6">
        <v>91</v>
      </c>
      <c r="C76" s="6"/>
      <c r="D76" s="6">
        <v>124</v>
      </c>
      <c r="E76" s="6">
        <v>5</v>
      </c>
      <c r="F76" s="6">
        <v>8</v>
      </c>
      <c r="G76" s="6">
        <v>23</v>
      </c>
      <c r="H76" s="6">
        <v>115</v>
      </c>
      <c r="I76" s="6">
        <v>93</v>
      </c>
      <c r="J76" s="6">
        <v>44</v>
      </c>
      <c r="K76" s="6">
        <v>22</v>
      </c>
      <c r="L76" s="6">
        <v>24</v>
      </c>
      <c r="M76" s="6">
        <v>44</v>
      </c>
      <c r="N76" s="10">
        <v>0.40300000000000002</v>
      </c>
      <c r="O76" s="6">
        <v>1.6</v>
      </c>
      <c r="P76" s="6">
        <v>5.54</v>
      </c>
      <c r="Q76" s="6">
        <v>2208</v>
      </c>
    </row>
    <row r="77" spans="1:17" x14ac:dyDescent="0.2">
      <c r="A77" s="6">
        <v>1937</v>
      </c>
      <c r="B77" s="6">
        <v>103</v>
      </c>
      <c r="C77" s="6"/>
      <c r="D77" s="6">
        <v>135</v>
      </c>
      <c r="E77" s="6">
        <v>6</v>
      </c>
      <c r="F77" s="6">
        <v>9</v>
      </c>
      <c r="G77" s="6">
        <v>25</v>
      </c>
      <c r="H77" s="6">
        <v>126</v>
      </c>
      <c r="I77" s="6">
        <v>102</v>
      </c>
      <c r="J77" s="6">
        <v>47</v>
      </c>
      <c r="K77" s="6">
        <v>24</v>
      </c>
      <c r="L77" s="6">
        <v>23</v>
      </c>
      <c r="M77" s="6">
        <v>45</v>
      </c>
      <c r="N77" s="10">
        <v>0.41399999999999998</v>
      </c>
      <c r="O77" s="6">
        <v>1.6</v>
      </c>
      <c r="P77" s="6">
        <v>5.73</v>
      </c>
      <c r="Q77" s="6">
        <v>2231</v>
      </c>
    </row>
    <row r="78" spans="1:17" x14ac:dyDescent="0.2">
      <c r="A78" s="6">
        <v>1938</v>
      </c>
      <c r="B78" s="6">
        <v>82</v>
      </c>
      <c r="C78" s="6"/>
      <c r="D78" s="6">
        <v>110</v>
      </c>
      <c r="E78" s="6">
        <v>5</v>
      </c>
      <c r="F78" s="6">
        <v>8</v>
      </c>
      <c r="G78" s="6">
        <v>19</v>
      </c>
      <c r="H78" s="6">
        <v>102</v>
      </c>
      <c r="I78" s="6">
        <v>82</v>
      </c>
      <c r="J78" s="6">
        <v>37</v>
      </c>
      <c r="K78" s="6">
        <v>19</v>
      </c>
      <c r="L78" s="6">
        <v>20</v>
      </c>
      <c r="M78" s="6">
        <v>46</v>
      </c>
      <c r="N78" s="10">
        <v>0.40600000000000003</v>
      </c>
      <c r="O78" s="6">
        <v>1.7</v>
      </c>
      <c r="P78" s="6">
        <v>5.79</v>
      </c>
      <c r="Q78" s="6">
        <v>2254</v>
      </c>
    </row>
    <row r="79" spans="1:17" ht="17" thickBot="1" x14ac:dyDescent="0.25">
      <c r="A79" s="8">
        <v>1939</v>
      </c>
      <c r="B79" s="8">
        <v>99</v>
      </c>
      <c r="C79" s="8"/>
      <c r="D79" s="8">
        <v>137</v>
      </c>
      <c r="E79" s="8">
        <v>7</v>
      </c>
      <c r="F79" s="8">
        <v>10</v>
      </c>
      <c r="G79" s="8">
        <v>21</v>
      </c>
      <c r="H79" s="8">
        <v>125</v>
      </c>
      <c r="I79" s="8">
        <v>101</v>
      </c>
      <c r="J79" s="8">
        <v>44</v>
      </c>
      <c r="K79" s="8">
        <v>24</v>
      </c>
      <c r="L79" s="8">
        <v>26</v>
      </c>
      <c r="M79" s="8">
        <v>46</v>
      </c>
      <c r="N79" s="9">
        <v>0.41199999999999998</v>
      </c>
      <c r="O79" s="8">
        <v>1.7</v>
      </c>
      <c r="P79" s="8">
        <v>6.05</v>
      </c>
      <c r="Q79" s="8">
        <v>2277</v>
      </c>
    </row>
    <row r="80" spans="1:17" x14ac:dyDescent="0.2">
      <c r="A80" s="6">
        <v>1940</v>
      </c>
      <c r="B80" s="6">
        <v>101</v>
      </c>
      <c r="C80" s="6"/>
      <c r="D80" s="6">
        <v>142</v>
      </c>
      <c r="E80" s="6">
        <v>7</v>
      </c>
      <c r="F80" s="6">
        <v>11</v>
      </c>
      <c r="G80" s="6">
        <v>18</v>
      </c>
      <c r="H80" s="6">
        <v>126</v>
      </c>
      <c r="I80" s="6">
        <v>102</v>
      </c>
      <c r="J80" s="6">
        <v>43</v>
      </c>
      <c r="K80" s="6">
        <v>24</v>
      </c>
      <c r="L80" s="6">
        <v>25</v>
      </c>
      <c r="M80" s="6">
        <v>47</v>
      </c>
      <c r="N80" s="10">
        <v>0.434</v>
      </c>
      <c r="O80" s="6">
        <v>1.8</v>
      </c>
      <c r="P80" s="6">
        <v>6.12</v>
      </c>
      <c r="Q80" s="6">
        <v>2300</v>
      </c>
    </row>
    <row r="81" spans="1:17" x14ac:dyDescent="0.2">
      <c r="A81" s="6">
        <v>1941</v>
      </c>
      <c r="B81" s="6">
        <v>108</v>
      </c>
      <c r="C81" s="6"/>
      <c r="D81" s="6">
        <v>154</v>
      </c>
      <c r="E81" s="6">
        <v>9</v>
      </c>
      <c r="F81" s="6">
        <v>12</v>
      </c>
      <c r="G81" s="6">
        <v>20</v>
      </c>
      <c r="H81" s="6">
        <v>138</v>
      </c>
      <c r="I81" s="6">
        <v>112</v>
      </c>
      <c r="J81" s="6">
        <v>47</v>
      </c>
      <c r="K81" s="6">
        <v>26</v>
      </c>
      <c r="L81" s="6">
        <v>30</v>
      </c>
      <c r="M81" s="6">
        <v>48</v>
      </c>
      <c r="N81" s="10">
        <v>0.46600000000000003</v>
      </c>
      <c r="O81" s="6">
        <v>1.8</v>
      </c>
      <c r="P81" s="6">
        <v>6.44</v>
      </c>
      <c r="Q81" s="6">
        <v>2310</v>
      </c>
    </row>
    <row r="82" spans="1:17" x14ac:dyDescent="0.2">
      <c r="A82" s="6">
        <v>1942</v>
      </c>
      <c r="B82" s="6">
        <v>106</v>
      </c>
      <c r="C82" s="6"/>
      <c r="D82" s="6">
        <v>154</v>
      </c>
      <c r="E82" s="6">
        <v>9</v>
      </c>
      <c r="F82" s="6">
        <v>12</v>
      </c>
      <c r="G82" s="6">
        <v>20</v>
      </c>
      <c r="H82" s="6">
        <v>138</v>
      </c>
      <c r="I82" s="6">
        <v>112</v>
      </c>
      <c r="J82" s="6">
        <v>46</v>
      </c>
      <c r="K82" s="6">
        <v>26</v>
      </c>
      <c r="L82" s="6">
        <v>32</v>
      </c>
      <c r="M82" s="6">
        <v>49</v>
      </c>
      <c r="N82" s="10">
        <v>0.50800000000000001</v>
      </c>
      <c r="O82" s="6">
        <v>1.9</v>
      </c>
      <c r="P82" s="6">
        <v>6.75</v>
      </c>
      <c r="Q82" s="6">
        <v>2320</v>
      </c>
    </row>
    <row r="83" spans="1:17" x14ac:dyDescent="0.2">
      <c r="A83" s="6">
        <v>1943</v>
      </c>
      <c r="B83" s="6">
        <v>112</v>
      </c>
      <c r="C83" s="6"/>
      <c r="D83" s="6">
        <v>162</v>
      </c>
      <c r="E83" s="6">
        <v>10</v>
      </c>
      <c r="F83" s="6">
        <v>12</v>
      </c>
      <c r="G83" s="6">
        <v>21</v>
      </c>
      <c r="H83" s="6">
        <v>146</v>
      </c>
      <c r="I83" s="6">
        <v>119</v>
      </c>
      <c r="J83" s="6">
        <v>48</v>
      </c>
      <c r="K83" s="6">
        <v>27</v>
      </c>
      <c r="L83" s="6">
        <v>33</v>
      </c>
      <c r="M83" s="6">
        <v>50</v>
      </c>
      <c r="N83" s="10">
        <v>0.53500000000000003</v>
      </c>
      <c r="O83" s="6">
        <v>2</v>
      </c>
      <c r="P83" s="6">
        <v>7.09</v>
      </c>
      <c r="Q83" s="6">
        <v>2330</v>
      </c>
    </row>
    <row r="84" spans="1:17" x14ac:dyDescent="0.2">
      <c r="A84" s="6">
        <v>1944</v>
      </c>
      <c r="B84" s="6">
        <v>103</v>
      </c>
      <c r="C84" s="6"/>
      <c r="D84" s="6">
        <v>156</v>
      </c>
      <c r="E84" s="6">
        <v>11</v>
      </c>
      <c r="F84" s="6">
        <v>12</v>
      </c>
      <c r="G84" s="6">
        <v>21</v>
      </c>
      <c r="H84" s="6">
        <v>141</v>
      </c>
      <c r="I84" s="6">
        <v>115</v>
      </c>
      <c r="J84" s="6">
        <v>46</v>
      </c>
      <c r="K84" s="6">
        <v>26</v>
      </c>
      <c r="L84" s="6">
        <v>36</v>
      </c>
      <c r="M84" s="6">
        <v>51</v>
      </c>
      <c r="N84" s="10">
        <v>0.56799999999999995</v>
      </c>
      <c r="O84" s="6">
        <v>2</v>
      </c>
      <c r="P84" s="6">
        <v>7.16</v>
      </c>
      <c r="Q84" s="6">
        <v>2340</v>
      </c>
    </row>
    <row r="85" spans="1:17" x14ac:dyDescent="0.2">
      <c r="A85" s="6">
        <v>1945</v>
      </c>
      <c r="B85" s="6">
        <v>78</v>
      </c>
      <c r="C85" s="6"/>
      <c r="D85" s="6">
        <v>114</v>
      </c>
      <c r="E85" s="6">
        <v>8</v>
      </c>
      <c r="F85" s="6">
        <v>9</v>
      </c>
      <c r="G85" s="6">
        <v>16</v>
      </c>
      <c r="H85" s="6">
        <v>104</v>
      </c>
      <c r="I85" s="6">
        <v>85</v>
      </c>
      <c r="J85" s="6">
        <v>34</v>
      </c>
      <c r="K85" s="6">
        <v>19</v>
      </c>
      <c r="L85" s="6">
        <v>25</v>
      </c>
      <c r="M85" s="6">
        <v>52</v>
      </c>
      <c r="N85" s="10">
        <v>0.56999999999999995</v>
      </c>
      <c r="O85" s="6">
        <v>2.1</v>
      </c>
      <c r="P85" s="6">
        <v>6.71</v>
      </c>
      <c r="Q85" s="6">
        <v>2350</v>
      </c>
    </row>
    <row r="86" spans="1:17" x14ac:dyDescent="0.2">
      <c r="A86" s="6">
        <v>1946</v>
      </c>
      <c r="B86" s="6">
        <v>78</v>
      </c>
      <c r="C86" s="6"/>
      <c r="D86" s="6">
        <v>112</v>
      </c>
      <c r="E86" s="6">
        <v>9</v>
      </c>
      <c r="F86" s="6">
        <v>8</v>
      </c>
      <c r="G86" s="6">
        <v>16</v>
      </c>
      <c r="H86" s="6">
        <v>102</v>
      </c>
      <c r="I86" s="6">
        <v>83</v>
      </c>
      <c r="J86" s="6">
        <v>33</v>
      </c>
      <c r="K86" s="6">
        <v>19</v>
      </c>
      <c r="L86" s="6">
        <v>22</v>
      </c>
      <c r="M86" s="6">
        <v>54</v>
      </c>
      <c r="N86" s="10">
        <v>0.55500000000000005</v>
      </c>
      <c r="O86" s="6">
        <v>2.1</v>
      </c>
      <c r="P86" s="6">
        <v>6.38</v>
      </c>
      <c r="Q86" s="6">
        <v>2385</v>
      </c>
    </row>
    <row r="87" spans="1:17" x14ac:dyDescent="0.2">
      <c r="A87" s="6">
        <v>1947</v>
      </c>
      <c r="B87" s="6">
        <v>97</v>
      </c>
      <c r="C87" s="6"/>
      <c r="D87" s="6">
        <v>136</v>
      </c>
      <c r="E87" s="6">
        <v>12</v>
      </c>
      <c r="F87" s="6">
        <v>10</v>
      </c>
      <c r="G87" s="6">
        <v>20</v>
      </c>
      <c r="H87" s="6">
        <v>125</v>
      </c>
      <c r="I87" s="6">
        <v>102</v>
      </c>
      <c r="J87" s="6">
        <v>40</v>
      </c>
      <c r="K87" s="6">
        <v>23</v>
      </c>
      <c r="L87" s="6">
        <v>26</v>
      </c>
      <c r="M87" s="6">
        <v>55</v>
      </c>
      <c r="N87" s="10">
        <v>0.55000000000000004</v>
      </c>
      <c r="O87" s="6">
        <v>2.1</v>
      </c>
      <c r="P87" s="6">
        <v>6.53</v>
      </c>
      <c r="Q87" s="6">
        <v>2420</v>
      </c>
    </row>
    <row r="88" spans="1:17" x14ac:dyDescent="0.2">
      <c r="A88" s="6">
        <v>1948</v>
      </c>
      <c r="B88" s="6">
        <v>111</v>
      </c>
      <c r="C88" s="6"/>
      <c r="D88" s="6">
        <v>156</v>
      </c>
      <c r="E88" s="6">
        <v>15</v>
      </c>
      <c r="F88" s="6">
        <v>12</v>
      </c>
      <c r="G88" s="6">
        <v>23</v>
      </c>
      <c r="H88" s="6">
        <v>144</v>
      </c>
      <c r="I88" s="6">
        <v>118</v>
      </c>
      <c r="J88" s="6">
        <v>46</v>
      </c>
      <c r="K88" s="6">
        <v>26</v>
      </c>
      <c r="L88" s="6">
        <v>30</v>
      </c>
      <c r="M88" s="6">
        <v>56</v>
      </c>
      <c r="N88" s="10">
        <v>0.55800000000000005</v>
      </c>
      <c r="O88" s="6">
        <v>2.2000000000000002</v>
      </c>
      <c r="P88" s="6">
        <v>6.87</v>
      </c>
      <c r="Q88" s="6">
        <v>2454</v>
      </c>
    </row>
    <row r="89" spans="1:17" ht="17" thickBot="1" x14ac:dyDescent="0.25">
      <c r="A89" s="8">
        <v>1949</v>
      </c>
      <c r="B89" s="8">
        <v>114</v>
      </c>
      <c r="C89" s="8"/>
      <c r="D89" s="8">
        <v>162</v>
      </c>
      <c r="E89" s="8">
        <v>16</v>
      </c>
      <c r="F89" s="8">
        <v>12</v>
      </c>
      <c r="G89" s="8">
        <v>24</v>
      </c>
      <c r="H89" s="8">
        <v>150</v>
      </c>
      <c r="I89" s="8">
        <v>123</v>
      </c>
      <c r="J89" s="8">
        <v>47</v>
      </c>
      <c r="K89" s="8">
        <v>27</v>
      </c>
      <c r="L89" s="8">
        <v>33</v>
      </c>
      <c r="M89" s="8">
        <v>57</v>
      </c>
      <c r="N89" s="9">
        <v>0.56100000000000005</v>
      </c>
      <c r="O89" s="8">
        <v>2.2999999999999998</v>
      </c>
      <c r="P89" s="8">
        <v>7.06</v>
      </c>
      <c r="Q89" s="8">
        <v>2489</v>
      </c>
    </row>
    <row r="90" spans="1:17" x14ac:dyDescent="0.2">
      <c r="A90" s="6">
        <v>1950</v>
      </c>
      <c r="B90" s="6">
        <v>130</v>
      </c>
      <c r="C90" s="6"/>
      <c r="D90" s="6">
        <v>192</v>
      </c>
      <c r="E90" s="6">
        <v>21</v>
      </c>
      <c r="F90" s="6">
        <v>14</v>
      </c>
      <c r="G90" s="6">
        <v>29</v>
      </c>
      <c r="H90" s="6">
        <v>179</v>
      </c>
      <c r="I90" s="6">
        <v>147</v>
      </c>
      <c r="J90" s="6">
        <v>56</v>
      </c>
      <c r="K90" s="6">
        <v>32</v>
      </c>
      <c r="L90" s="6">
        <v>44</v>
      </c>
      <c r="M90" s="6">
        <v>59</v>
      </c>
      <c r="N90" s="10">
        <v>0.58399999999999996</v>
      </c>
      <c r="O90" s="6">
        <v>2.4</v>
      </c>
      <c r="P90" s="6">
        <v>7.58</v>
      </c>
      <c r="Q90" s="6">
        <v>2524</v>
      </c>
    </row>
    <row r="91" spans="1:17" x14ac:dyDescent="0.2">
      <c r="A91" s="6">
        <v>1951</v>
      </c>
      <c r="B91" s="6">
        <v>146</v>
      </c>
      <c r="C91" s="6"/>
      <c r="D91" s="6">
        <v>214</v>
      </c>
      <c r="E91" s="6">
        <v>24</v>
      </c>
      <c r="F91" s="6">
        <v>15</v>
      </c>
      <c r="G91" s="6">
        <v>33</v>
      </c>
      <c r="H91" s="6">
        <v>200</v>
      </c>
      <c r="I91" s="6">
        <v>164</v>
      </c>
      <c r="J91" s="6">
        <v>63</v>
      </c>
      <c r="K91" s="6">
        <v>35</v>
      </c>
      <c r="L91" s="6">
        <v>49</v>
      </c>
      <c r="M91" s="6">
        <v>61</v>
      </c>
      <c r="N91" s="10">
        <v>0.60599999999999998</v>
      </c>
      <c r="O91" s="6">
        <v>2.5</v>
      </c>
      <c r="P91" s="6">
        <v>8.0500000000000007</v>
      </c>
      <c r="Q91" s="6">
        <v>2566</v>
      </c>
    </row>
    <row r="92" spans="1:17" x14ac:dyDescent="0.2">
      <c r="A92" s="6">
        <v>1952</v>
      </c>
      <c r="B92" s="6">
        <v>148</v>
      </c>
      <c r="C92" s="6"/>
      <c r="D92" s="6">
        <v>216</v>
      </c>
      <c r="E92" s="6">
        <v>24</v>
      </c>
      <c r="F92" s="6">
        <v>14</v>
      </c>
      <c r="G92" s="6">
        <v>34</v>
      </c>
      <c r="H92" s="6">
        <v>201</v>
      </c>
      <c r="I92" s="6">
        <v>165</v>
      </c>
      <c r="J92" s="6">
        <v>63</v>
      </c>
      <c r="K92" s="6">
        <v>36</v>
      </c>
      <c r="L92" s="6">
        <v>48</v>
      </c>
      <c r="M92" s="6">
        <v>62</v>
      </c>
      <c r="N92" s="10">
        <v>0.621</v>
      </c>
      <c r="O92" s="6">
        <v>2.6</v>
      </c>
      <c r="P92" s="6">
        <v>8.39</v>
      </c>
      <c r="Q92" s="6">
        <v>2612</v>
      </c>
    </row>
    <row r="93" spans="1:17" x14ac:dyDescent="0.2">
      <c r="A93" s="6">
        <v>1953</v>
      </c>
      <c r="B93" s="6">
        <v>163</v>
      </c>
      <c r="C93" s="6"/>
      <c r="D93" s="6">
        <v>235</v>
      </c>
      <c r="E93" s="6">
        <v>27</v>
      </c>
      <c r="F93" s="6">
        <v>14</v>
      </c>
      <c r="G93" s="6">
        <v>38</v>
      </c>
      <c r="H93" s="6">
        <v>219</v>
      </c>
      <c r="I93" s="6">
        <v>180</v>
      </c>
      <c r="J93" s="6">
        <v>70</v>
      </c>
      <c r="K93" s="6">
        <v>39</v>
      </c>
      <c r="L93" s="6">
        <v>50</v>
      </c>
      <c r="M93" s="6">
        <v>64</v>
      </c>
      <c r="N93" s="10">
        <v>0.63700000000000001</v>
      </c>
      <c r="O93" s="6">
        <v>2.7</v>
      </c>
      <c r="P93" s="6">
        <v>8.8000000000000007</v>
      </c>
      <c r="Q93" s="6">
        <v>2658</v>
      </c>
    </row>
    <row r="94" spans="1:17" x14ac:dyDescent="0.2">
      <c r="A94" s="6">
        <v>1954</v>
      </c>
      <c r="B94" s="6">
        <v>158</v>
      </c>
      <c r="C94" s="6"/>
      <c r="D94" s="6">
        <v>227</v>
      </c>
      <c r="E94" s="6">
        <v>26</v>
      </c>
      <c r="F94" s="6">
        <v>13</v>
      </c>
      <c r="G94" s="6">
        <v>38</v>
      </c>
      <c r="H94" s="6">
        <v>211</v>
      </c>
      <c r="I94" s="6">
        <v>174</v>
      </c>
      <c r="J94" s="6">
        <v>68</v>
      </c>
      <c r="K94" s="6">
        <v>37</v>
      </c>
      <c r="L94" s="6">
        <v>48</v>
      </c>
      <c r="M94" s="6">
        <v>66</v>
      </c>
      <c r="N94" s="10">
        <v>0.64</v>
      </c>
      <c r="O94" s="6">
        <v>2.8</v>
      </c>
      <c r="P94" s="6">
        <v>9.08</v>
      </c>
      <c r="Q94" s="6">
        <v>2708</v>
      </c>
    </row>
    <row r="95" spans="1:17" x14ac:dyDescent="0.2">
      <c r="A95" s="6">
        <v>1955</v>
      </c>
      <c r="B95" s="6">
        <v>192</v>
      </c>
      <c r="C95" s="6"/>
      <c r="D95" s="6">
        <v>273</v>
      </c>
      <c r="E95" s="6">
        <v>32</v>
      </c>
      <c r="F95" s="6">
        <v>14</v>
      </c>
      <c r="G95" s="6">
        <v>46</v>
      </c>
      <c r="H95" s="6">
        <v>255</v>
      </c>
      <c r="I95" s="6">
        <v>210</v>
      </c>
      <c r="J95" s="6">
        <v>82</v>
      </c>
      <c r="K95" s="6">
        <v>45</v>
      </c>
      <c r="L95" s="6">
        <v>56</v>
      </c>
      <c r="M95" s="6">
        <v>68</v>
      </c>
      <c r="N95" s="10">
        <v>0.67600000000000005</v>
      </c>
      <c r="O95" s="6">
        <v>2.9</v>
      </c>
      <c r="P95" s="6">
        <v>9.65</v>
      </c>
      <c r="Q95" s="6">
        <v>2758</v>
      </c>
    </row>
    <row r="96" spans="1:17" x14ac:dyDescent="0.2">
      <c r="A96" s="6">
        <v>1956</v>
      </c>
      <c r="B96" s="6">
        <v>200</v>
      </c>
      <c r="C96" s="6"/>
      <c r="D96" s="6">
        <v>287</v>
      </c>
      <c r="E96" s="6">
        <v>34</v>
      </c>
      <c r="F96" s="6">
        <v>13</v>
      </c>
      <c r="G96" s="6">
        <v>47</v>
      </c>
      <c r="H96" s="6">
        <v>266</v>
      </c>
      <c r="I96" s="6">
        <v>219</v>
      </c>
      <c r="J96" s="6">
        <v>86</v>
      </c>
      <c r="K96" s="6">
        <v>47</v>
      </c>
      <c r="L96" s="6">
        <v>58</v>
      </c>
      <c r="M96" s="6">
        <v>71</v>
      </c>
      <c r="N96" s="10">
        <v>0.71499999999999997</v>
      </c>
      <c r="O96" s="6">
        <v>3.1</v>
      </c>
      <c r="P96" s="6">
        <v>10</v>
      </c>
      <c r="Q96" s="6">
        <v>2811</v>
      </c>
    </row>
    <row r="97" spans="1:17" x14ac:dyDescent="0.2">
      <c r="A97" s="6">
        <v>1957</v>
      </c>
      <c r="B97" s="6">
        <v>211</v>
      </c>
      <c r="C97" s="6"/>
      <c r="D97" s="6">
        <v>296</v>
      </c>
      <c r="E97" s="6">
        <v>36</v>
      </c>
      <c r="F97" s="6">
        <v>13</v>
      </c>
      <c r="G97" s="6">
        <v>48</v>
      </c>
      <c r="H97" s="6">
        <v>272</v>
      </c>
      <c r="I97" s="6">
        <v>224</v>
      </c>
      <c r="J97" s="6">
        <v>88</v>
      </c>
      <c r="K97" s="6">
        <v>48</v>
      </c>
      <c r="L97" s="6">
        <v>54</v>
      </c>
      <c r="M97" s="6">
        <v>73</v>
      </c>
      <c r="N97" s="10">
        <v>0.73799999999999999</v>
      </c>
      <c r="O97" s="6">
        <v>3.2</v>
      </c>
      <c r="P97" s="6">
        <v>10.4</v>
      </c>
      <c r="Q97" s="6">
        <v>2866</v>
      </c>
    </row>
    <row r="98" spans="1:17" x14ac:dyDescent="0.2">
      <c r="A98" s="6">
        <v>1958</v>
      </c>
      <c r="B98" s="6">
        <v>196</v>
      </c>
      <c r="C98" s="6"/>
      <c r="D98" s="6">
        <v>277</v>
      </c>
      <c r="E98" s="6">
        <v>34</v>
      </c>
      <c r="F98" s="6">
        <v>10</v>
      </c>
      <c r="G98" s="6">
        <v>44</v>
      </c>
      <c r="H98" s="6">
        <v>253</v>
      </c>
      <c r="I98" s="6">
        <v>208</v>
      </c>
      <c r="J98" s="6">
        <v>82</v>
      </c>
      <c r="K98" s="6">
        <v>45</v>
      </c>
      <c r="L98" s="6">
        <v>50</v>
      </c>
      <c r="M98" s="6">
        <v>76</v>
      </c>
      <c r="N98" s="10">
        <v>0.747</v>
      </c>
      <c r="O98" s="6">
        <v>3.4</v>
      </c>
      <c r="P98" s="6">
        <v>10.7</v>
      </c>
      <c r="Q98" s="6">
        <v>2924</v>
      </c>
    </row>
    <row r="99" spans="1:17" ht="17" thickBot="1" x14ac:dyDescent="0.25">
      <c r="A99" s="8">
        <v>1959</v>
      </c>
      <c r="B99" s="8">
        <v>226</v>
      </c>
      <c r="C99" s="8"/>
      <c r="D99" s="8">
        <v>309</v>
      </c>
      <c r="E99" s="8">
        <v>39</v>
      </c>
      <c r="F99" s="8">
        <v>10</v>
      </c>
      <c r="G99" s="8">
        <v>47</v>
      </c>
      <c r="H99" s="8">
        <v>280</v>
      </c>
      <c r="I99" s="8">
        <v>230</v>
      </c>
      <c r="J99" s="8">
        <v>91</v>
      </c>
      <c r="K99" s="8">
        <v>49</v>
      </c>
      <c r="L99" s="8">
        <v>47</v>
      </c>
      <c r="M99" s="8">
        <v>79</v>
      </c>
      <c r="N99" s="9">
        <v>0.74299999999999999</v>
      </c>
      <c r="O99" s="8">
        <v>3.5</v>
      </c>
      <c r="P99" s="8">
        <v>11.3</v>
      </c>
      <c r="Q99" s="8">
        <v>2979</v>
      </c>
    </row>
    <row r="100" spans="1:17" x14ac:dyDescent="0.2">
      <c r="A100" s="6">
        <v>1960</v>
      </c>
      <c r="B100" s="6">
        <v>258</v>
      </c>
      <c r="C100" s="6"/>
      <c r="D100" s="6">
        <v>345</v>
      </c>
      <c r="E100" s="6">
        <v>44</v>
      </c>
      <c r="F100" s="6"/>
      <c r="G100" s="6">
        <v>52</v>
      </c>
      <c r="H100" s="6">
        <v>310</v>
      </c>
      <c r="I100" s="6">
        <v>255</v>
      </c>
      <c r="J100" s="6">
        <v>102</v>
      </c>
      <c r="K100" s="6">
        <v>55</v>
      </c>
      <c r="L100" s="6">
        <v>45</v>
      </c>
      <c r="M100" s="6">
        <v>82</v>
      </c>
      <c r="N100" s="10">
        <v>0.71899999999999997</v>
      </c>
      <c r="O100" s="6">
        <v>3.7</v>
      </c>
      <c r="P100" s="6">
        <v>11.8</v>
      </c>
      <c r="Q100" s="6">
        <v>3023</v>
      </c>
    </row>
    <row r="101" spans="1:17" x14ac:dyDescent="0.2">
      <c r="A101" s="6">
        <v>1961</v>
      </c>
      <c r="B101" s="6">
        <v>255</v>
      </c>
      <c r="C101" s="6"/>
      <c r="D101" s="6">
        <v>359</v>
      </c>
      <c r="E101" s="6">
        <v>47</v>
      </c>
      <c r="F101" s="6"/>
      <c r="G101" s="6">
        <v>53</v>
      </c>
      <c r="H101" s="6">
        <v>323</v>
      </c>
      <c r="I101" s="6">
        <v>266</v>
      </c>
      <c r="J101" s="6">
        <v>105</v>
      </c>
      <c r="K101" s="6">
        <v>57</v>
      </c>
      <c r="L101" s="6">
        <v>58</v>
      </c>
      <c r="M101" s="6">
        <v>86</v>
      </c>
      <c r="N101" s="10">
        <v>0.70699999999999996</v>
      </c>
      <c r="O101" s="6">
        <v>3.9</v>
      </c>
      <c r="P101" s="6">
        <v>12.3</v>
      </c>
      <c r="Q101" s="6">
        <v>3081</v>
      </c>
    </row>
    <row r="102" spans="1:17" x14ac:dyDescent="0.2">
      <c r="A102" s="6">
        <v>1962</v>
      </c>
      <c r="B102" s="6">
        <v>264</v>
      </c>
      <c r="C102" s="6"/>
      <c r="D102" s="6">
        <v>366</v>
      </c>
      <c r="E102" s="6">
        <v>49</v>
      </c>
      <c r="F102" s="6"/>
      <c r="G102" s="6">
        <v>53</v>
      </c>
      <c r="H102" s="6">
        <v>328</v>
      </c>
      <c r="I102" s="6">
        <v>271</v>
      </c>
      <c r="J102" s="6">
        <v>106</v>
      </c>
      <c r="K102" s="6">
        <v>57</v>
      </c>
      <c r="L102" s="6">
        <v>55</v>
      </c>
      <c r="M102" s="6">
        <v>90</v>
      </c>
      <c r="N102" s="10">
        <v>0.69099999999999995</v>
      </c>
      <c r="O102" s="6">
        <v>4</v>
      </c>
      <c r="P102" s="6">
        <v>12.9</v>
      </c>
      <c r="Q102" s="6">
        <v>3140</v>
      </c>
    </row>
    <row r="103" spans="1:17" x14ac:dyDescent="0.2">
      <c r="A103" s="6">
        <v>1963</v>
      </c>
      <c r="B103" s="6">
        <v>277</v>
      </c>
      <c r="C103" s="6"/>
      <c r="D103" s="6">
        <v>390</v>
      </c>
      <c r="E103" s="6">
        <v>54</v>
      </c>
      <c r="F103" s="6"/>
      <c r="G103" s="6">
        <v>56</v>
      </c>
      <c r="H103" s="6">
        <v>350</v>
      </c>
      <c r="I103" s="6">
        <v>289</v>
      </c>
      <c r="J103" s="6">
        <v>112</v>
      </c>
      <c r="K103" s="6">
        <v>61</v>
      </c>
      <c r="L103" s="6">
        <v>63</v>
      </c>
      <c r="M103" s="6">
        <v>94</v>
      </c>
      <c r="N103" s="10">
        <v>0.68100000000000005</v>
      </c>
      <c r="O103" s="6">
        <v>4.2</v>
      </c>
      <c r="P103" s="6">
        <v>13.5</v>
      </c>
      <c r="Q103" s="6">
        <v>3202</v>
      </c>
    </row>
    <row r="104" spans="1:17" x14ac:dyDescent="0.2">
      <c r="A104" s="6">
        <v>1964</v>
      </c>
      <c r="B104" s="6">
        <v>308</v>
      </c>
      <c r="C104" s="6"/>
      <c r="D104" s="6">
        <v>442</v>
      </c>
      <c r="E104" s="6">
        <v>62</v>
      </c>
      <c r="F104" s="6"/>
      <c r="G104" s="6">
        <v>63</v>
      </c>
      <c r="H104" s="6">
        <v>396</v>
      </c>
      <c r="I104" s="6">
        <v>327</v>
      </c>
      <c r="J104" s="6">
        <v>126</v>
      </c>
      <c r="K104" s="6">
        <v>69</v>
      </c>
      <c r="L104" s="6">
        <v>76</v>
      </c>
      <c r="M104" s="6">
        <v>98</v>
      </c>
      <c r="N104" s="10">
        <v>0.69</v>
      </c>
      <c r="O104" s="6">
        <v>4.5</v>
      </c>
      <c r="P104" s="6">
        <v>14.4</v>
      </c>
      <c r="Q104" s="6">
        <v>3266</v>
      </c>
    </row>
    <row r="105" spans="1:17" x14ac:dyDescent="0.2">
      <c r="A105" s="6">
        <v>1965</v>
      </c>
      <c r="B105" s="6">
        <v>326</v>
      </c>
      <c r="C105" s="6"/>
      <c r="D105" s="6">
        <v>463</v>
      </c>
      <c r="E105" s="6">
        <v>67</v>
      </c>
      <c r="F105" s="6"/>
      <c r="G105" s="6">
        <v>65</v>
      </c>
      <c r="H105" s="6">
        <v>415</v>
      </c>
      <c r="I105" s="6">
        <v>343</v>
      </c>
      <c r="J105" s="6">
        <v>131</v>
      </c>
      <c r="K105" s="6">
        <v>71</v>
      </c>
      <c r="L105" s="6">
        <v>77</v>
      </c>
      <c r="M105" s="6">
        <v>103</v>
      </c>
      <c r="N105" s="10">
        <v>0.68600000000000005</v>
      </c>
      <c r="O105" s="6">
        <v>4.7</v>
      </c>
      <c r="P105" s="6">
        <v>15.2</v>
      </c>
      <c r="Q105" s="6">
        <v>3332</v>
      </c>
    </row>
    <row r="106" spans="1:17" x14ac:dyDescent="0.2">
      <c r="A106" s="6">
        <v>1966</v>
      </c>
      <c r="B106" s="6">
        <v>337</v>
      </c>
      <c r="C106" s="6"/>
      <c r="D106" s="6">
        <v>480</v>
      </c>
      <c r="E106" s="6">
        <v>71</v>
      </c>
      <c r="F106" s="6"/>
      <c r="G106" s="6">
        <v>61</v>
      </c>
      <c r="H106" s="6">
        <v>424</v>
      </c>
      <c r="I106" s="6">
        <v>351</v>
      </c>
      <c r="J106" s="6">
        <v>132</v>
      </c>
      <c r="K106" s="6">
        <v>73</v>
      </c>
      <c r="L106" s="6">
        <v>75</v>
      </c>
      <c r="M106" s="6">
        <v>108</v>
      </c>
      <c r="N106" s="10">
        <v>0.67600000000000005</v>
      </c>
      <c r="O106" s="6">
        <v>5</v>
      </c>
      <c r="P106" s="6">
        <v>16</v>
      </c>
      <c r="Q106" s="6">
        <v>3399</v>
      </c>
    </row>
    <row r="107" spans="1:17" x14ac:dyDescent="0.2">
      <c r="A107" s="6">
        <v>1967</v>
      </c>
      <c r="B107" s="6">
        <v>353</v>
      </c>
      <c r="C107" s="6"/>
      <c r="D107" s="6">
        <v>498</v>
      </c>
      <c r="E107" s="6">
        <v>76</v>
      </c>
      <c r="F107" s="6"/>
      <c r="G107" s="6">
        <v>62</v>
      </c>
      <c r="H107" s="6">
        <v>439</v>
      </c>
      <c r="I107" s="6">
        <v>364</v>
      </c>
      <c r="J107" s="6">
        <v>135</v>
      </c>
      <c r="K107" s="6">
        <v>75</v>
      </c>
      <c r="L107" s="6">
        <v>75</v>
      </c>
      <c r="M107" s="6">
        <v>113</v>
      </c>
      <c r="N107" s="10">
        <v>0.66900000000000004</v>
      </c>
      <c r="O107" s="6">
        <v>5.2</v>
      </c>
      <c r="P107" s="6">
        <v>16.600000000000001</v>
      </c>
      <c r="Q107" s="6">
        <v>3469</v>
      </c>
    </row>
    <row r="108" spans="1:17" x14ac:dyDescent="0.2">
      <c r="A108" s="6">
        <v>1968</v>
      </c>
      <c r="B108" s="6">
        <v>377</v>
      </c>
      <c r="C108" s="6"/>
      <c r="D108" s="6">
        <v>534</v>
      </c>
      <c r="E108" s="6">
        <v>83</v>
      </c>
      <c r="F108" s="6"/>
      <c r="G108" s="6">
        <v>61</v>
      </c>
      <c r="H108" s="6">
        <v>466</v>
      </c>
      <c r="I108" s="6">
        <v>387</v>
      </c>
      <c r="J108" s="6">
        <v>142</v>
      </c>
      <c r="K108" s="6">
        <v>79</v>
      </c>
      <c r="L108" s="6">
        <v>78</v>
      </c>
      <c r="M108" s="6">
        <v>119</v>
      </c>
      <c r="N108" s="10">
        <v>0.66800000000000004</v>
      </c>
      <c r="O108" s="6">
        <v>5.5</v>
      </c>
      <c r="P108" s="6">
        <v>17.5</v>
      </c>
      <c r="Q108" s="6">
        <v>3540</v>
      </c>
    </row>
    <row r="109" spans="1:17" ht="17" thickBot="1" x14ac:dyDescent="0.25">
      <c r="A109" s="8">
        <v>1969</v>
      </c>
      <c r="B109" s="8">
        <v>410</v>
      </c>
      <c r="C109" s="8"/>
      <c r="D109" s="8">
        <v>579</v>
      </c>
      <c r="E109" s="8">
        <v>92</v>
      </c>
      <c r="F109" s="8"/>
      <c r="G109" s="8">
        <v>73</v>
      </c>
      <c r="H109" s="8">
        <v>513</v>
      </c>
      <c r="I109" s="8">
        <v>426</v>
      </c>
      <c r="J109" s="8">
        <v>156</v>
      </c>
      <c r="K109" s="8">
        <v>87</v>
      </c>
      <c r="L109" s="8">
        <v>89</v>
      </c>
      <c r="M109" s="8">
        <v>125</v>
      </c>
      <c r="N109" s="9">
        <v>0.68</v>
      </c>
      <c r="O109" s="8">
        <v>5.8</v>
      </c>
      <c r="P109" s="8">
        <v>18.5</v>
      </c>
      <c r="Q109" s="8">
        <v>3612</v>
      </c>
    </row>
    <row r="110" spans="1:17" x14ac:dyDescent="0.2">
      <c r="A110" s="6">
        <v>1970</v>
      </c>
      <c r="B110" s="6">
        <v>427</v>
      </c>
      <c r="C110" s="6">
        <v>0.8</v>
      </c>
      <c r="D110" s="6">
        <v>601</v>
      </c>
      <c r="E110" s="6">
        <v>98</v>
      </c>
      <c r="F110" s="6"/>
      <c r="G110" s="6">
        <v>70</v>
      </c>
      <c r="H110" s="6">
        <v>528</v>
      </c>
      <c r="I110" s="6">
        <v>439</v>
      </c>
      <c r="J110" s="6">
        <v>158</v>
      </c>
      <c r="K110" s="6">
        <v>89</v>
      </c>
      <c r="L110" s="6">
        <v>87</v>
      </c>
      <c r="M110" s="6">
        <v>132</v>
      </c>
      <c r="N110" s="10">
        <v>0.68700000000000006</v>
      </c>
      <c r="O110" s="6">
        <v>6.1</v>
      </c>
      <c r="P110" s="6">
        <v>19.3</v>
      </c>
      <c r="Q110" s="6">
        <v>3686</v>
      </c>
    </row>
    <row r="111" spans="1:17" x14ac:dyDescent="0.2">
      <c r="A111" s="6">
        <v>1971</v>
      </c>
      <c r="B111" s="6">
        <v>423</v>
      </c>
      <c r="C111" s="6">
        <v>1</v>
      </c>
      <c r="D111" s="6">
        <v>587</v>
      </c>
      <c r="E111" s="6">
        <v>98</v>
      </c>
      <c r="F111" s="6"/>
      <c r="G111" s="6">
        <v>68</v>
      </c>
      <c r="H111" s="6">
        <v>517</v>
      </c>
      <c r="I111" s="6">
        <v>431</v>
      </c>
      <c r="J111" s="6">
        <v>152</v>
      </c>
      <c r="K111" s="6">
        <v>86</v>
      </c>
      <c r="L111" s="6">
        <v>81</v>
      </c>
      <c r="M111" s="6">
        <v>139</v>
      </c>
      <c r="N111" s="10">
        <v>0.67500000000000004</v>
      </c>
      <c r="O111" s="6">
        <v>6.4</v>
      </c>
      <c r="P111" s="6">
        <v>20.2</v>
      </c>
      <c r="Q111" s="6">
        <v>3760</v>
      </c>
    </row>
    <row r="112" spans="1:17" x14ac:dyDescent="0.2">
      <c r="A112" s="6">
        <v>1972</v>
      </c>
      <c r="B112" s="6">
        <v>456</v>
      </c>
      <c r="C112" s="6">
        <v>1.4</v>
      </c>
      <c r="D112" s="6">
        <v>635</v>
      </c>
      <c r="E112" s="6">
        <v>108</v>
      </c>
      <c r="F112" s="6"/>
      <c r="G112" s="6">
        <v>65</v>
      </c>
      <c r="H112" s="6">
        <v>552</v>
      </c>
      <c r="I112" s="6">
        <v>461</v>
      </c>
      <c r="J112" s="6">
        <v>159</v>
      </c>
      <c r="K112" s="6">
        <v>91</v>
      </c>
      <c r="L112" s="6">
        <v>83</v>
      </c>
      <c r="M112" s="6">
        <v>146</v>
      </c>
      <c r="N112" s="10">
        <v>0.66600000000000004</v>
      </c>
      <c r="O112" s="6">
        <v>6.7</v>
      </c>
      <c r="P112" s="6">
        <v>21.2</v>
      </c>
      <c r="Q112" s="6">
        <v>3835</v>
      </c>
    </row>
    <row r="113" spans="1:17" x14ac:dyDescent="0.2">
      <c r="A113" s="6">
        <v>1973</v>
      </c>
      <c r="B113" s="6">
        <v>505</v>
      </c>
      <c r="C113" s="6">
        <v>1.9</v>
      </c>
      <c r="D113" s="6">
        <v>703</v>
      </c>
      <c r="E113" s="6">
        <v>123</v>
      </c>
      <c r="F113" s="6"/>
      <c r="G113" s="6">
        <v>73</v>
      </c>
      <c r="H113" s="6">
        <v>614</v>
      </c>
      <c r="I113" s="6">
        <v>514</v>
      </c>
      <c r="J113" s="6">
        <v>175</v>
      </c>
      <c r="K113" s="6">
        <v>100</v>
      </c>
      <c r="L113" s="6">
        <v>95</v>
      </c>
      <c r="M113" s="6">
        <v>154</v>
      </c>
      <c r="N113" s="10">
        <v>0.65900000000000003</v>
      </c>
      <c r="O113" s="6">
        <v>7</v>
      </c>
      <c r="P113" s="6">
        <v>22.5</v>
      </c>
      <c r="Q113" s="6">
        <v>3911</v>
      </c>
    </row>
    <row r="114" spans="1:17" x14ac:dyDescent="0.2">
      <c r="A114" s="6">
        <v>1974</v>
      </c>
      <c r="B114" s="6">
        <v>505</v>
      </c>
      <c r="C114" s="6">
        <v>2.7</v>
      </c>
      <c r="D114" s="6">
        <v>714</v>
      </c>
      <c r="E114" s="6">
        <v>127</v>
      </c>
      <c r="F114" s="6"/>
      <c r="G114" s="6">
        <v>68</v>
      </c>
      <c r="H114" s="6">
        <v>620</v>
      </c>
      <c r="I114" s="6">
        <v>521</v>
      </c>
      <c r="J114" s="6">
        <v>172</v>
      </c>
      <c r="K114" s="6">
        <v>100</v>
      </c>
      <c r="L114" s="6">
        <v>101</v>
      </c>
      <c r="M114" s="6">
        <v>162</v>
      </c>
      <c r="N114" s="10">
        <v>0.64500000000000002</v>
      </c>
      <c r="O114" s="6">
        <v>7.4</v>
      </c>
      <c r="P114" s="6">
        <v>23</v>
      </c>
      <c r="Q114" s="6">
        <v>3986</v>
      </c>
    </row>
    <row r="115" spans="1:17" x14ac:dyDescent="0.2">
      <c r="A115" s="6">
        <v>1975</v>
      </c>
      <c r="B115" s="6">
        <v>471</v>
      </c>
      <c r="C115" s="6">
        <v>2.8</v>
      </c>
      <c r="D115" s="6">
        <v>650</v>
      </c>
      <c r="E115" s="6">
        <v>118</v>
      </c>
      <c r="F115" s="6"/>
      <c r="G115" s="6">
        <v>67</v>
      </c>
      <c r="H115" s="6">
        <v>564</v>
      </c>
      <c r="I115" s="6">
        <v>475</v>
      </c>
      <c r="J115" s="6">
        <v>165</v>
      </c>
      <c r="K115" s="6">
        <v>89</v>
      </c>
      <c r="L115" s="6">
        <v>81</v>
      </c>
      <c r="M115" s="6">
        <v>171</v>
      </c>
      <c r="N115" s="10">
        <v>0.61599999999999999</v>
      </c>
      <c r="O115" s="6">
        <v>7.7</v>
      </c>
      <c r="P115" s="6">
        <v>23.4</v>
      </c>
      <c r="Q115" s="6">
        <v>4061</v>
      </c>
    </row>
    <row r="116" spans="1:17" x14ac:dyDescent="0.2">
      <c r="A116" s="6">
        <v>1976</v>
      </c>
      <c r="B116" s="6">
        <v>489</v>
      </c>
      <c r="C116" s="6">
        <v>3</v>
      </c>
      <c r="D116" s="6">
        <v>680</v>
      </c>
      <c r="E116" s="6">
        <v>128</v>
      </c>
      <c r="F116" s="6"/>
      <c r="G116" s="6">
        <v>73</v>
      </c>
      <c r="H116" s="6">
        <v>599</v>
      </c>
      <c r="I116" s="6">
        <v>506</v>
      </c>
      <c r="J116" s="6">
        <v>166</v>
      </c>
      <c r="K116" s="6">
        <v>94</v>
      </c>
      <c r="L116" s="6">
        <v>97</v>
      </c>
      <c r="M116" s="6">
        <v>180</v>
      </c>
      <c r="N116" s="10">
        <v>0.6</v>
      </c>
      <c r="O116" s="6">
        <v>8</v>
      </c>
      <c r="P116" s="6">
        <v>24.5</v>
      </c>
      <c r="Q116" s="6">
        <v>4136</v>
      </c>
    </row>
    <row r="117" spans="1:17" x14ac:dyDescent="0.2">
      <c r="A117" s="6">
        <v>1977</v>
      </c>
      <c r="B117" s="6">
        <v>486</v>
      </c>
      <c r="C117" s="6">
        <v>3.5</v>
      </c>
      <c r="D117" s="6">
        <v>679</v>
      </c>
      <c r="E117" s="6">
        <v>133</v>
      </c>
      <c r="F117" s="6"/>
      <c r="G117" s="6">
        <v>75</v>
      </c>
      <c r="H117" s="6">
        <v>610</v>
      </c>
      <c r="I117" s="6">
        <v>516</v>
      </c>
      <c r="J117" s="6">
        <v>156</v>
      </c>
      <c r="K117" s="6">
        <v>94</v>
      </c>
      <c r="L117" s="6">
        <v>109</v>
      </c>
      <c r="M117" s="6">
        <v>189</v>
      </c>
      <c r="N117" s="10">
        <v>0.59299999999999997</v>
      </c>
      <c r="O117" s="6">
        <v>8.4</v>
      </c>
      <c r="P117" s="6">
        <v>25.4</v>
      </c>
      <c r="Q117" s="6">
        <v>4210</v>
      </c>
    </row>
    <row r="118" spans="1:17" x14ac:dyDescent="0.2">
      <c r="A118" s="6">
        <v>1978</v>
      </c>
      <c r="B118" s="6">
        <v>498</v>
      </c>
      <c r="C118" s="6">
        <v>5</v>
      </c>
      <c r="D118" s="6">
        <v>720</v>
      </c>
      <c r="E118" s="6">
        <v>145</v>
      </c>
      <c r="F118" s="6"/>
      <c r="G118" s="6">
        <v>85</v>
      </c>
      <c r="H118" s="6">
        <v>653</v>
      </c>
      <c r="I118" s="6">
        <v>554</v>
      </c>
      <c r="J118" s="6">
        <v>167</v>
      </c>
      <c r="K118" s="6">
        <v>100</v>
      </c>
      <c r="L118" s="6">
        <v>137</v>
      </c>
      <c r="M118" s="6">
        <v>199</v>
      </c>
      <c r="N118" s="10">
        <v>0.6</v>
      </c>
      <c r="O118" s="6">
        <v>8.6999999999999993</v>
      </c>
      <c r="P118" s="6">
        <v>26.5</v>
      </c>
      <c r="Q118" s="6">
        <v>4285</v>
      </c>
    </row>
    <row r="119" spans="1:17" ht="17" thickBot="1" x14ac:dyDescent="0.25">
      <c r="A119" s="8">
        <v>1979</v>
      </c>
      <c r="B119" s="8">
        <v>518</v>
      </c>
      <c r="C119" s="8">
        <v>6.6</v>
      </c>
      <c r="D119" s="8">
        <v>750</v>
      </c>
      <c r="E119" s="8">
        <v>157</v>
      </c>
      <c r="F119" s="8"/>
      <c r="G119" s="8">
        <v>85</v>
      </c>
      <c r="H119" s="8">
        <v>685</v>
      </c>
      <c r="I119" s="8">
        <v>582</v>
      </c>
      <c r="J119" s="8">
        <v>165</v>
      </c>
      <c r="K119" s="8">
        <v>103</v>
      </c>
      <c r="L119" s="8">
        <v>146</v>
      </c>
      <c r="M119" s="8">
        <v>209</v>
      </c>
      <c r="N119" s="9">
        <v>0.60399999999999998</v>
      </c>
      <c r="O119" s="8">
        <v>9.1</v>
      </c>
      <c r="P119" s="8">
        <v>27.5</v>
      </c>
      <c r="Q119" s="8">
        <v>4361</v>
      </c>
    </row>
    <row r="120" spans="1:17" x14ac:dyDescent="0.2">
      <c r="A120" s="6">
        <v>1980</v>
      </c>
      <c r="B120" s="6">
        <v>498</v>
      </c>
      <c r="C120" s="6">
        <v>7.1</v>
      </c>
      <c r="D120" s="6">
        <v>720</v>
      </c>
      <c r="E120" s="6">
        <v>146</v>
      </c>
      <c r="F120" s="6"/>
      <c r="G120" s="6">
        <v>79</v>
      </c>
      <c r="H120" s="6">
        <v>661</v>
      </c>
      <c r="I120" s="6">
        <v>563</v>
      </c>
      <c r="J120" s="6">
        <v>152</v>
      </c>
      <c r="K120" s="6">
        <v>98</v>
      </c>
      <c r="L120" s="6">
        <v>143</v>
      </c>
      <c r="M120" s="6">
        <v>219</v>
      </c>
      <c r="N120" s="10">
        <v>0.60599999999999998</v>
      </c>
      <c r="O120" s="6">
        <v>9.4</v>
      </c>
      <c r="P120" s="6">
        <v>28</v>
      </c>
      <c r="Q120" s="6">
        <v>4438</v>
      </c>
    </row>
    <row r="121" spans="1:17" x14ac:dyDescent="0.2">
      <c r="A121" s="6">
        <v>1981</v>
      </c>
      <c r="B121" s="6">
        <v>491</v>
      </c>
      <c r="C121" s="6">
        <v>7.9</v>
      </c>
      <c r="D121" s="6">
        <v>711</v>
      </c>
      <c r="E121" s="6">
        <v>152</v>
      </c>
      <c r="F121" s="6"/>
      <c r="G121" s="6">
        <v>70</v>
      </c>
      <c r="H121" s="6">
        <v>639</v>
      </c>
      <c r="I121" s="6">
        <v>545</v>
      </c>
      <c r="J121" s="6">
        <v>151</v>
      </c>
      <c r="K121" s="6">
        <v>94</v>
      </c>
      <c r="L121" s="6">
        <v>129</v>
      </c>
      <c r="M121" s="6">
        <v>230</v>
      </c>
      <c r="N121" s="10">
        <v>0.60199999999999998</v>
      </c>
      <c r="O121" s="6">
        <v>9.6999999999999993</v>
      </c>
      <c r="P121" s="6">
        <v>28.4</v>
      </c>
      <c r="Q121" s="6">
        <v>4516</v>
      </c>
    </row>
    <row r="122" spans="1:17" x14ac:dyDescent="0.2">
      <c r="A122" s="6">
        <v>1982</v>
      </c>
      <c r="B122" s="6">
        <v>457</v>
      </c>
      <c r="C122" s="6">
        <v>7.3</v>
      </c>
      <c r="D122" s="6">
        <v>649</v>
      </c>
      <c r="E122" s="6">
        <v>145</v>
      </c>
      <c r="F122" s="6"/>
      <c r="G122" s="6">
        <v>67</v>
      </c>
      <c r="H122" s="6">
        <v>604</v>
      </c>
      <c r="I122" s="6">
        <v>517</v>
      </c>
      <c r="J122" s="6">
        <v>121</v>
      </c>
      <c r="K122" s="6">
        <v>87</v>
      </c>
      <c r="L122" s="6">
        <v>129</v>
      </c>
      <c r="M122" s="6">
        <v>240</v>
      </c>
      <c r="N122" s="10">
        <v>0.59599999999999997</v>
      </c>
      <c r="O122" s="6">
        <v>10</v>
      </c>
      <c r="P122" s="6">
        <v>28.7</v>
      </c>
      <c r="Q122" s="6">
        <v>4596</v>
      </c>
    </row>
    <row r="123" spans="1:17" x14ac:dyDescent="0.2">
      <c r="A123" s="6">
        <v>1983</v>
      </c>
      <c r="B123" s="6">
        <v>461</v>
      </c>
      <c r="C123" s="6">
        <v>7.9</v>
      </c>
      <c r="D123" s="6">
        <v>667</v>
      </c>
      <c r="E123" s="6">
        <v>156</v>
      </c>
      <c r="F123" s="6"/>
      <c r="G123" s="6">
        <v>47</v>
      </c>
      <c r="H123" s="6">
        <v>596</v>
      </c>
      <c r="I123" s="6">
        <v>511</v>
      </c>
      <c r="J123" s="6">
        <v>119</v>
      </c>
      <c r="K123" s="6">
        <v>85</v>
      </c>
      <c r="L123" s="6">
        <v>119</v>
      </c>
      <c r="M123" s="6">
        <v>251</v>
      </c>
      <c r="N123" s="10">
        <v>0.57999999999999996</v>
      </c>
      <c r="O123" s="6">
        <v>10.3</v>
      </c>
      <c r="P123" s="6">
        <v>29.4</v>
      </c>
      <c r="Q123" s="6">
        <v>4678</v>
      </c>
    </row>
    <row r="124" spans="1:17" x14ac:dyDescent="0.2">
      <c r="A124" s="6">
        <v>1984</v>
      </c>
      <c r="B124" s="6">
        <v>491</v>
      </c>
      <c r="C124" s="6">
        <v>9.3000000000000007</v>
      </c>
      <c r="D124" s="6">
        <v>714</v>
      </c>
      <c r="E124" s="6">
        <v>174</v>
      </c>
      <c r="F124" s="6"/>
      <c r="G124" s="6">
        <v>60</v>
      </c>
      <c r="H124" s="6">
        <v>649</v>
      </c>
      <c r="I124" s="6">
        <v>558</v>
      </c>
      <c r="J124" s="6">
        <v>130</v>
      </c>
      <c r="K124" s="6">
        <v>91</v>
      </c>
      <c r="L124" s="6">
        <v>139</v>
      </c>
      <c r="M124" s="6">
        <v>262</v>
      </c>
      <c r="N124" s="10">
        <v>0.57099999999999995</v>
      </c>
      <c r="O124" s="6">
        <v>10.6</v>
      </c>
      <c r="P124" s="6">
        <v>30.7</v>
      </c>
      <c r="Q124" s="6">
        <v>4761</v>
      </c>
    </row>
    <row r="125" spans="1:17" x14ac:dyDescent="0.2">
      <c r="A125" s="6">
        <v>1985</v>
      </c>
      <c r="B125" s="6">
        <v>513</v>
      </c>
      <c r="C125" s="6">
        <v>11</v>
      </c>
      <c r="D125" s="6">
        <v>719</v>
      </c>
      <c r="E125" s="6">
        <v>183</v>
      </c>
      <c r="F125" s="6"/>
      <c r="G125" s="6">
        <v>51</v>
      </c>
      <c r="H125" s="6">
        <v>638</v>
      </c>
      <c r="I125" s="6">
        <v>550</v>
      </c>
      <c r="J125" s="6">
        <v>132</v>
      </c>
      <c r="K125" s="6">
        <v>88</v>
      </c>
      <c r="L125" s="6">
        <v>108</v>
      </c>
      <c r="M125" s="6">
        <v>272</v>
      </c>
      <c r="N125" s="10">
        <v>0.55700000000000005</v>
      </c>
      <c r="O125" s="6">
        <v>10.9</v>
      </c>
      <c r="P125" s="6">
        <v>31.7</v>
      </c>
      <c r="Q125" s="6">
        <v>4846</v>
      </c>
    </row>
    <row r="126" spans="1:17" x14ac:dyDescent="0.2">
      <c r="A126" s="6">
        <v>1986</v>
      </c>
      <c r="B126" s="6">
        <v>510</v>
      </c>
      <c r="C126" s="6">
        <v>13</v>
      </c>
      <c r="D126" s="6">
        <v>714</v>
      </c>
      <c r="E126" s="6">
        <v>183</v>
      </c>
      <c r="F126" s="6"/>
      <c r="G126" s="6">
        <v>53</v>
      </c>
      <c r="H126" s="6">
        <v>645</v>
      </c>
      <c r="I126" s="6">
        <v>558</v>
      </c>
      <c r="J126" s="6">
        <v>123</v>
      </c>
      <c r="K126" s="6">
        <v>87</v>
      </c>
      <c r="L126" s="6">
        <v>116</v>
      </c>
      <c r="M126" s="6">
        <v>283</v>
      </c>
      <c r="N126" s="10">
        <v>0.54100000000000004</v>
      </c>
      <c r="O126" s="6">
        <v>11.1</v>
      </c>
      <c r="P126" s="6">
        <v>32.6</v>
      </c>
      <c r="Q126" s="6">
        <v>4934</v>
      </c>
    </row>
    <row r="127" spans="1:17" x14ac:dyDescent="0.2">
      <c r="A127" s="6">
        <v>1987</v>
      </c>
      <c r="B127" s="6">
        <v>523</v>
      </c>
      <c r="C127" s="6">
        <v>14</v>
      </c>
      <c r="D127" s="6">
        <v>736</v>
      </c>
      <c r="E127" s="6">
        <v>196</v>
      </c>
      <c r="F127" s="6"/>
      <c r="G127" s="6">
        <v>54</v>
      </c>
      <c r="H127" s="6">
        <v>664</v>
      </c>
      <c r="I127" s="6">
        <v>576</v>
      </c>
      <c r="J127" s="6">
        <v>126</v>
      </c>
      <c r="K127" s="6">
        <v>88</v>
      </c>
      <c r="L127" s="6">
        <v>123</v>
      </c>
      <c r="M127" s="6">
        <v>293</v>
      </c>
      <c r="N127" s="10">
        <v>0.52400000000000002</v>
      </c>
      <c r="O127" s="6">
        <v>11.4</v>
      </c>
      <c r="P127" s="6">
        <v>33.799999999999997</v>
      </c>
      <c r="Q127" s="6">
        <v>5023</v>
      </c>
    </row>
    <row r="128" spans="1:17" x14ac:dyDescent="0.2">
      <c r="A128" s="6">
        <v>1988</v>
      </c>
      <c r="B128" s="6">
        <v>555</v>
      </c>
      <c r="C128" s="6">
        <v>14</v>
      </c>
      <c r="D128" s="6">
        <v>780</v>
      </c>
      <c r="E128" s="6">
        <v>210</v>
      </c>
      <c r="F128" s="6"/>
      <c r="G128" s="6">
        <v>61</v>
      </c>
      <c r="H128" s="6">
        <v>708</v>
      </c>
      <c r="I128" s="6">
        <v>616</v>
      </c>
      <c r="J128" s="6">
        <v>135</v>
      </c>
      <c r="K128" s="6">
        <v>92</v>
      </c>
      <c r="L128" s="6">
        <v>136</v>
      </c>
      <c r="M128" s="6">
        <v>303</v>
      </c>
      <c r="N128" s="10">
        <v>0.502</v>
      </c>
      <c r="O128" s="6">
        <v>11.7</v>
      </c>
      <c r="P128" s="6">
        <v>35.1</v>
      </c>
      <c r="Q128" s="6">
        <v>5112</v>
      </c>
    </row>
    <row r="129" spans="1:20" ht="17" thickBot="1" x14ac:dyDescent="0.25">
      <c r="A129" s="8">
        <v>1989</v>
      </c>
      <c r="B129" s="8">
        <v>562</v>
      </c>
      <c r="C129" s="8">
        <v>16</v>
      </c>
      <c r="D129" s="8">
        <v>786</v>
      </c>
      <c r="E129" s="8">
        <v>219</v>
      </c>
      <c r="F129" s="8"/>
      <c r="G129" s="8">
        <v>61</v>
      </c>
      <c r="H129" s="8">
        <v>718</v>
      </c>
      <c r="I129" s="8">
        <v>627</v>
      </c>
      <c r="J129" s="8">
        <v>130</v>
      </c>
      <c r="K129" s="8">
        <v>92</v>
      </c>
      <c r="L129" s="8">
        <v>138</v>
      </c>
      <c r="M129" s="8">
        <v>313</v>
      </c>
      <c r="N129" s="9">
        <v>0.47899999999999998</v>
      </c>
      <c r="O129" s="8">
        <v>12</v>
      </c>
      <c r="P129" s="8">
        <v>36.200000000000003</v>
      </c>
      <c r="Q129" s="8">
        <v>5202</v>
      </c>
    </row>
    <row r="130" spans="1:20" x14ac:dyDescent="0.2">
      <c r="A130" s="6">
        <v>1990</v>
      </c>
      <c r="B130" s="6">
        <v>528</v>
      </c>
      <c r="C130" s="6">
        <v>18</v>
      </c>
      <c r="D130" s="6">
        <v>770</v>
      </c>
      <c r="E130" s="6">
        <v>221</v>
      </c>
      <c r="F130" s="6"/>
      <c r="G130" s="6">
        <v>60</v>
      </c>
      <c r="H130" s="6">
        <v>705</v>
      </c>
      <c r="I130" s="6">
        <v>617</v>
      </c>
      <c r="J130" s="6">
        <v>126</v>
      </c>
      <c r="K130" s="6">
        <v>88</v>
      </c>
      <c r="L130" s="6">
        <v>157</v>
      </c>
      <c r="M130" s="6">
        <v>323</v>
      </c>
      <c r="N130" s="10">
        <v>0.46600000000000003</v>
      </c>
      <c r="O130" s="6">
        <v>12.3</v>
      </c>
      <c r="P130" s="6">
        <v>36.799999999999997</v>
      </c>
      <c r="Q130" s="6">
        <v>5290</v>
      </c>
    </row>
    <row r="131" spans="1:20" x14ac:dyDescent="0.2">
      <c r="A131" s="6">
        <v>1991</v>
      </c>
      <c r="B131" s="6">
        <v>504</v>
      </c>
      <c r="C131" s="6">
        <v>19</v>
      </c>
      <c r="D131" s="6">
        <v>734</v>
      </c>
      <c r="E131" s="6">
        <v>217</v>
      </c>
      <c r="F131" s="6"/>
      <c r="G131" s="6">
        <v>60</v>
      </c>
      <c r="H131" s="6">
        <v>680</v>
      </c>
      <c r="I131" s="6">
        <v>595</v>
      </c>
      <c r="J131" s="6">
        <v>116</v>
      </c>
      <c r="K131" s="6">
        <v>85</v>
      </c>
      <c r="L131" s="6">
        <v>154</v>
      </c>
      <c r="M131" s="6">
        <v>333</v>
      </c>
      <c r="N131" s="10">
        <v>0.45800000000000002</v>
      </c>
      <c r="O131" s="6">
        <v>12.6</v>
      </c>
      <c r="P131" s="6">
        <v>37.1</v>
      </c>
      <c r="Q131" s="6">
        <v>5377</v>
      </c>
    </row>
    <row r="132" spans="1:20" x14ac:dyDescent="0.2">
      <c r="A132" s="6">
        <v>1992</v>
      </c>
      <c r="B132" s="6">
        <v>499</v>
      </c>
      <c r="C132" s="6">
        <v>21</v>
      </c>
      <c r="D132" s="6">
        <v>720</v>
      </c>
      <c r="E132" s="6">
        <v>224</v>
      </c>
      <c r="F132" s="6"/>
      <c r="G132" s="6">
        <v>59</v>
      </c>
      <c r="H132" s="6">
        <v>658</v>
      </c>
      <c r="I132" s="6">
        <v>576</v>
      </c>
      <c r="J132" s="6">
        <v>123</v>
      </c>
      <c r="K132" s="6">
        <v>82</v>
      </c>
      <c r="L132" s="6">
        <v>137</v>
      </c>
      <c r="M132" s="6">
        <v>343</v>
      </c>
      <c r="N132" s="10">
        <v>0.44500000000000001</v>
      </c>
      <c r="O132" s="6">
        <v>12.8</v>
      </c>
      <c r="P132" s="6">
        <v>37.700000000000003</v>
      </c>
      <c r="Q132" s="6">
        <v>5463</v>
      </c>
    </row>
    <row r="133" spans="1:20" x14ac:dyDescent="0.2">
      <c r="A133" s="6">
        <v>1993</v>
      </c>
      <c r="B133" s="6">
        <v>501</v>
      </c>
      <c r="C133" s="6">
        <v>24</v>
      </c>
      <c r="D133" s="6">
        <v>728</v>
      </c>
      <c r="E133" s="6">
        <v>231</v>
      </c>
      <c r="F133" s="6"/>
      <c r="G133" s="6">
        <v>59</v>
      </c>
      <c r="H133" s="6">
        <v>672</v>
      </c>
      <c r="I133" s="6">
        <v>589</v>
      </c>
      <c r="J133" s="6">
        <v>116</v>
      </c>
      <c r="K133" s="6">
        <v>83</v>
      </c>
      <c r="L133" s="6">
        <v>145</v>
      </c>
      <c r="M133" s="6">
        <v>352</v>
      </c>
      <c r="N133" s="10">
        <v>0.439</v>
      </c>
      <c r="O133" s="6">
        <v>13.1</v>
      </c>
      <c r="P133" s="6">
        <v>38.299999999999997</v>
      </c>
      <c r="Q133" s="6">
        <v>5547</v>
      </c>
    </row>
    <row r="134" spans="1:20" x14ac:dyDescent="0.2">
      <c r="A134" s="6">
        <v>1994</v>
      </c>
      <c r="B134" s="6">
        <v>508</v>
      </c>
      <c r="C134" s="6">
        <v>27</v>
      </c>
      <c r="D134" s="6">
        <v>725</v>
      </c>
      <c r="E134" s="6">
        <v>238</v>
      </c>
      <c r="F134" s="6"/>
      <c r="G134" s="6">
        <v>59</v>
      </c>
      <c r="H134" s="6">
        <v>676</v>
      </c>
      <c r="I134" s="6">
        <v>593</v>
      </c>
      <c r="J134" s="6">
        <v>108</v>
      </c>
      <c r="K134" s="6">
        <v>83</v>
      </c>
      <c r="L134" s="6">
        <v>139</v>
      </c>
      <c r="M134" s="6">
        <v>361</v>
      </c>
      <c r="N134" s="10">
        <v>0.42499999999999999</v>
      </c>
      <c r="O134" s="6">
        <v>13.3</v>
      </c>
      <c r="P134" s="6">
        <v>39.4</v>
      </c>
      <c r="Q134" s="6">
        <v>5631</v>
      </c>
    </row>
    <row r="135" spans="1:20" x14ac:dyDescent="0.2">
      <c r="A135" s="6">
        <v>1995</v>
      </c>
      <c r="B135" s="6">
        <v>524</v>
      </c>
      <c r="C135" s="6">
        <v>31</v>
      </c>
      <c r="D135" s="6">
        <v>752</v>
      </c>
      <c r="E135" s="6">
        <v>252</v>
      </c>
      <c r="F135" s="6"/>
      <c r="G135" s="6">
        <v>61</v>
      </c>
      <c r="H135" s="6">
        <v>715</v>
      </c>
      <c r="I135" s="6">
        <v>627</v>
      </c>
      <c r="J135" s="6">
        <v>99</v>
      </c>
      <c r="K135" s="6">
        <v>88</v>
      </c>
      <c r="L135" s="6">
        <v>157</v>
      </c>
      <c r="M135" s="6">
        <v>370</v>
      </c>
      <c r="N135" s="10">
        <v>0.42699999999999999</v>
      </c>
      <c r="O135" s="6">
        <v>13.6</v>
      </c>
      <c r="P135" s="6">
        <v>40.799999999999997</v>
      </c>
      <c r="Q135" s="6">
        <v>5713</v>
      </c>
    </row>
    <row r="136" spans="1:20" x14ac:dyDescent="0.2">
      <c r="A136" s="6">
        <v>1996</v>
      </c>
      <c r="B136" s="6">
        <v>517</v>
      </c>
      <c r="C136" s="6">
        <v>33</v>
      </c>
      <c r="D136" s="6">
        <v>750</v>
      </c>
      <c r="E136" s="6">
        <v>254</v>
      </c>
      <c r="F136" s="6"/>
      <c r="G136" s="6">
        <v>60</v>
      </c>
      <c r="H136" s="6">
        <v>709</v>
      </c>
      <c r="I136" s="6">
        <v>622</v>
      </c>
      <c r="J136" s="6">
        <v>101</v>
      </c>
      <c r="K136" s="6">
        <v>86</v>
      </c>
      <c r="L136" s="6">
        <v>155</v>
      </c>
      <c r="M136" s="6">
        <v>379</v>
      </c>
      <c r="N136" s="10">
        <v>0.42699999999999999</v>
      </c>
      <c r="O136" s="6">
        <v>13.8</v>
      </c>
      <c r="P136" s="6">
        <v>42</v>
      </c>
      <c r="Q136" s="6">
        <v>5795</v>
      </c>
    </row>
    <row r="137" spans="1:20" x14ac:dyDescent="0.2">
      <c r="A137" s="6">
        <v>1997</v>
      </c>
      <c r="B137" s="6">
        <v>547</v>
      </c>
      <c r="C137" s="6">
        <v>36</v>
      </c>
      <c r="D137" s="6">
        <v>799</v>
      </c>
      <c r="E137" s="6">
        <v>271</v>
      </c>
      <c r="F137" s="6"/>
      <c r="G137" s="6">
        <v>51</v>
      </c>
      <c r="H137" s="6">
        <v>751</v>
      </c>
      <c r="I137" s="6">
        <v>660</v>
      </c>
      <c r="J137" s="6">
        <v>95</v>
      </c>
      <c r="K137" s="6">
        <v>91</v>
      </c>
      <c r="L137" s="6">
        <v>165</v>
      </c>
      <c r="M137" s="6">
        <v>387</v>
      </c>
      <c r="N137" s="10">
        <v>0.42799999999999999</v>
      </c>
      <c r="O137" s="6">
        <v>14.1</v>
      </c>
      <c r="P137" s="6">
        <v>43.6</v>
      </c>
      <c r="Q137" s="6">
        <v>5876</v>
      </c>
    </row>
    <row r="138" spans="1:20" x14ac:dyDescent="0.2">
      <c r="A138" s="6">
        <v>1998</v>
      </c>
      <c r="B138" s="6">
        <v>540</v>
      </c>
      <c r="C138" s="6">
        <v>37</v>
      </c>
      <c r="D138" s="6">
        <v>777</v>
      </c>
      <c r="E138" s="6">
        <v>263</v>
      </c>
      <c r="F138" s="6"/>
      <c r="G138" s="6">
        <v>54</v>
      </c>
      <c r="H138" s="6">
        <v>743</v>
      </c>
      <c r="I138" s="6">
        <v>655</v>
      </c>
      <c r="J138" s="6">
        <v>85</v>
      </c>
      <c r="K138" s="6">
        <v>88</v>
      </c>
      <c r="L138" s="6">
        <v>165</v>
      </c>
      <c r="M138" s="6">
        <v>395</v>
      </c>
      <c r="N138" s="10">
        <v>0.42499999999999999</v>
      </c>
      <c r="O138" s="6">
        <v>14.3</v>
      </c>
      <c r="P138" s="6">
        <v>44.4</v>
      </c>
      <c r="Q138" s="6">
        <v>5956</v>
      </c>
    </row>
    <row r="139" spans="1:20" ht="17" thickBot="1" x14ac:dyDescent="0.25">
      <c r="A139" s="8">
        <v>1999</v>
      </c>
      <c r="B139" s="8">
        <v>541</v>
      </c>
      <c r="C139" s="8">
        <v>39</v>
      </c>
      <c r="D139" s="8">
        <v>789</v>
      </c>
      <c r="E139" s="8">
        <v>267</v>
      </c>
      <c r="F139" s="8"/>
      <c r="G139" s="8">
        <v>55</v>
      </c>
      <c r="H139" s="8">
        <v>753</v>
      </c>
      <c r="I139" s="8">
        <v>662</v>
      </c>
      <c r="J139" s="8">
        <v>88</v>
      </c>
      <c r="K139" s="8">
        <v>91</v>
      </c>
      <c r="L139" s="8">
        <v>170</v>
      </c>
      <c r="M139" s="8">
        <v>404</v>
      </c>
      <c r="N139" s="9">
        <v>0.42299999999999999</v>
      </c>
      <c r="O139" s="8">
        <v>14.6</v>
      </c>
      <c r="P139" s="8">
        <v>45.9</v>
      </c>
      <c r="Q139" s="8">
        <v>6036</v>
      </c>
    </row>
    <row r="140" spans="1:20" x14ac:dyDescent="0.2">
      <c r="A140" s="6">
        <v>2000</v>
      </c>
      <c r="B140" s="6">
        <v>576</v>
      </c>
      <c r="C140" s="6">
        <v>44</v>
      </c>
      <c r="D140" s="6">
        <v>849</v>
      </c>
      <c r="E140" s="6">
        <v>288</v>
      </c>
      <c r="F140" s="6"/>
      <c r="G140" s="6">
        <v>55</v>
      </c>
      <c r="H140" s="6">
        <v>812</v>
      </c>
      <c r="I140" s="6">
        <v>716</v>
      </c>
      <c r="J140" s="6">
        <v>86</v>
      </c>
      <c r="K140" s="6">
        <v>97</v>
      </c>
      <c r="L140" s="6">
        <v>189</v>
      </c>
      <c r="M140" s="6">
        <v>412</v>
      </c>
      <c r="N140" s="10">
        <v>0.42199999999999999</v>
      </c>
      <c r="O140" s="6">
        <v>14.9</v>
      </c>
      <c r="P140" s="6">
        <v>47.6</v>
      </c>
      <c r="Q140" s="6">
        <v>6115</v>
      </c>
      <c r="R140" s="1">
        <f t="shared" ref="R140:R176" si="0">((J140+K140+L140)*100)/D140</f>
        <v>43.816254416961129</v>
      </c>
      <c r="S140">
        <v>2000</v>
      </c>
      <c r="T140">
        <f t="shared" ref="T140:T160" si="1">(R140/100) * D140</f>
        <v>372</v>
      </c>
    </row>
    <row r="141" spans="1:20" x14ac:dyDescent="0.2">
      <c r="A141" s="6">
        <v>2001</v>
      </c>
      <c r="B141" s="6">
        <v>578</v>
      </c>
      <c r="C141" s="6">
        <v>40</v>
      </c>
      <c r="D141" s="6">
        <v>851</v>
      </c>
      <c r="E141" s="6">
        <v>285</v>
      </c>
      <c r="F141" s="6"/>
      <c r="G141" s="6">
        <v>58</v>
      </c>
      <c r="H141" s="6">
        <v>830</v>
      </c>
      <c r="I141" s="6">
        <v>732</v>
      </c>
      <c r="J141" s="6">
        <v>75</v>
      </c>
      <c r="K141" s="6">
        <v>98</v>
      </c>
      <c r="L141" s="6">
        <v>207</v>
      </c>
      <c r="M141" s="6">
        <v>420</v>
      </c>
      <c r="N141" s="10">
        <v>0.42599999999999999</v>
      </c>
      <c r="O141" s="6">
        <v>15.2</v>
      </c>
      <c r="P141" s="6">
        <v>48.2</v>
      </c>
      <c r="Q141" s="6">
        <v>6195</v>
      </c>
      <c r="R141" s="1">
        <f t="shared" si="0"/>
        <v>44.653349001175087</v>
      </c>
      <c r="S141">
        <v>2001</v>
      </c>
      <c r="T141">
        <f t="shared" si="1"/>
        <v>380</v>
      </c>
    </row>
    <row r="142" spans="1:20" x14ac:dyDescent="0.2">
      <c r="A142" s="6">
        <v>2002</v>
      </c>
      <c r="B142" s="6">
        <v>611</v>
      </c>
      <c r="C142" s="6">
        <v>45</v>
      </c>
      <c r="D142" s="6">
        <v>904</v>
      </c>
      <c r="E142" s="6">
        <v>305</v>
      </c>
      <c r="F142" s="6"/>
      <c r="G142" s="6">
        <v>59</v>
      </c>
      <c r="H142" s="6">
        <v>884</v>
      </c>
      <c r="I142" s="6">
        <v>780</v>
      </c>
      <c r="J142" s="6">
        <v>74</v>
      </c>
      <c r="K142" s="6">
        <v>104</v>
      </c>
      <c r="L142" s="6">
        <v>223</v>
      </c>
      <c r="M142" s="6">
        <v>428</v>
      </c>
      <c r="N142" s="10">
        <v>0.439</v>
      </c>
      <c r="O142" s="6">
        <v>15.6</v>
      </c>
      <c r="P142" s="6">
        <v>49</v>
      </c>
      <c r="Q142" s="6">
        <v>6274</v>
      </c>
      <c r="R142" s="1">
        <f t="shared" si="0"/>
        <v>44.358407079646021</v>
      </c>
      <c r="S142">
        <v>2002</v>
      </c>
      <c r="T142">
        <f t="shared" si="1"/>
        <v>401.00000000000006</v>
      </c>
    </row>
    <row r="143" spans="1:20" x14ac:dyDescent="0.2">
      <c r="A143" s="6">
        <v>2003</v>
      </c>
      <c r="B143" s="6">
        <v>670</v>
      </c>
      <c r="C143" s="6">
        <v>49</v>
      </c>
      <c r="D143" s="6">
        <v>970</v>
      </c>
      <c r="E143" s="6">
        <v>325</v>
      </c>
      <c r="F143" s="6"/>
      <c r="G143" s="6">
        <v>62</v>
      </c>
      <c r="H143" s="6">
        <v>951</v>
      </c>
      <c r="I143" s="6">
        <v>841</v>
      </c>
      <c r="J143" s="6">
        <v>74</v>
      </c>
      <c r="K143" s="6">
        <v>110</v>
      </c>
      <c r="L143" s="6">
        <v>229</v>
      </c>
      <c r="M143" s="6">
        <v>436</v>
      </c>
      <c r="N143" s="10">
        <v>0.45100000000000001</v>
      </c>
      <c r="O143" s="6">
        <v>16</v>
      </c>
      <c r="P143" s="6">
        <v>50.2</v>
      </c>
      <c r="Q143" s="6">
        <v>6354</v>
      </c>
      <c r="R143" s="1">
        <f t="shared" si="0"/>
        <v>42.577319587628864</v>
      </c>
      <c r="S143">
        <v>2003</v>
      </c>
      <c r="T143">
        <f t="shared" si="1"/>
        <v>413</v>
      </c>
    </row>
    <row r="144" spans="1:20" x14ac:dyDescent="0.2">
      <c r="A144" s="6">
        <v>2004</v>
      </c>
      <c r="B144" s="6">
        <v>736</v>
      </c>
      <c r="C144" s="6">
        <v>55</v>
      </c>
      <c r="D144" s="6">
        <v>1071</v>
      </c>
      <c r="E144" s="6">
        <v>354</v>
      </c>
      <c r="F144" s="6"/>
      <c r="G144" s="6">
        <v>67</v>
      </c>
      <c r="H144" s="6">
        <v>1043</v>
      </c>
      <c r="I144" s="6">
        <v>922</v>
      </c>
      <c r="J144" s="6">
        <v>87</v>
      </c>
      <c r="K144" s="6">
        <v>121</v>
      </c>
      <c r="L144" s="6">
        <v>251</v>
      </c>
      <c r="M144" s="6">
        <v>445</v>
      </c>
      <c r="N144" s="10">
        <v>0.46899999999999997</v>
      </c>
      <c r="O144" s="6">
        <v>16.399999999999999</v>
      </c>
      <c r="P144" s="6">
        <v>52.1</v>
      </c>
      <c r="Q144" s="6">
        <v>6433</v>
      </c>
      <c r="R144" s="1">
        <f t="shared" si="0"/>
        <v>42.857142857142854</v>
      </c>
      <c r="S144">
        <v>2004</v>
      </c>
      <c r="T144">
        <f t="shared" si="1"/>
        <v>459</v>
      </c>
    </row>
    <row r="145" spans="1:20" x14ac:dyDescent="0.2">
      <c r="A145" s="6">
        <v>2005</v>
      </c>
      <c r="B145" s="6">
        <v>800</v>
      </c>
      <c r="C145" s="6">
        <v>57</v>
      </c>
      <c r="D145" s="6">
        <v>1144</v>
      </c>
      <c r="E145" s="6">
        <v>365</v>
      </c>
      <c r="F145" s="6"/>
      <c r="G145" s="6">
        <v>71</v>
      </c>
      <c r="H145" s="6">
        <v>1116</v>
      </c>
      <c r="I145" s="6">
        <v>988</v>
      </c>
      <c r="J145" s="6">
        <v>90</v>
      </c>
      <c r="K145" s="6">
        <v>128</v>
      </c>
      <c r="L145" s="6">
        <v>259</v>
      </c>
      <c r="M145" s="6">
        <v>454</v>
      </c>
      <c r="N145" s="10">
        <v>0.48399999999999999</v>
      </c>
      <c r="O145" s="6">
        <v>17</v>
      </c>
      <c r="P145" s="6">
        <v>53.8</v>
      </c>
      <c r="Q145" s="6">
        <v>6512</v>
      </c>
      <c r="R145" s="1">
        <f t="shared" si="0"/>
        <v>41.695804195804193</v>
      </c>
      <c r="S145">
        <v>2005</v>
      </c>
      <c r="T145">
        <f t="shared" si="1"/>
        <v>476.99999999999994</v>
      </c>
    </row>
    <row r="146" spans="1:20" x14ac:dyDescent="0.2">
      <c r="A146" s="6">
        <v>2006</v>
      </c>
      <c r="B146" s="6">
        <v>880</v>
      </c>
      <c r="C146" s="6">
        <v>60</v>
      </c>
      <c r="D146" s="6">
        <v>1247</v>
      </c>
      <c r="E146" s="6">
        <v>394</v>
      </c>
      <c r="F146" s="6"/>
      <c r="G146" s="6">
        <v>75</v>
      </c>
      <c r="H146" s="6">
        <v>1216</v>
      </c>
      <c r="I146" s="6">
        <v>1076</v>
      </c>
      <c r="J146" s="6">
        <v>96</v>
      </c>
      <c r="K146" s="6">
        <v>140</v>
      </c>
      <c r="L146" s="6">
        <v>276</v>
      </c>
      <c r="M146" s="6">
        <v>464</v>
      </c>
      <c r="N146" s="10">
        <v>0.503</v>
      </c>
      <c r="O146" s="6">
        <v>17.600000000000001</v>
      </c>
      <c r="P146" s="6">
        <v>55.7</v>
      </c>
      <c r="Q146" s="6">
        <v>6592</v>
      </c>
      <c r="R146" s="1">
        <f t="shared" si="0"/>
        <v>41.058540497193263</v>
      </c>
      <c r="S146">
        <v>2006</v>
      </c>
      <c r="T146">
        <f t="shared" si="1"/>
        <v>512</v>
      </c>
    </row>
    <row r="147" spans="1:20" x14ac:dyDescent="0.2">
      <c r="A147" s="6">
        <v>2007</v>
      </c>
      <c r="B147" s="6">
        <v>961</v>
      </c>
      <c r="C147" s="6">
        <v>67</v>
      </c>
      <c r="D147" s="6">
        <v>1346</v>
      </c>
      <c r="E147" s="6">
        <v>415</v>
      </c>
      <c r="F147" s="6"/>
      <c r="G147" s="6">
        <v>79</v>
      </c>
      <c r="H147" s="6">
        <v>1302</v>
      </c>
      <c r="I147" s="6">
        <v>1153</v>
      </c>
      <c r="J147" s="6">
        <v>110</v>
      </c>
      <c r="K147" s="6">
        <v>149</v>
      </c>
      <c r="L147" s="6">
        <v>276</v>
      </c>
      <c r="M147" s="6">
        <v>475</v>
      </c>
      <c r="N147" s="10">
        <v>0.51800000000000002</v>
      </c>
      <c r="O147" s="6">
        <v>18.3</v>
      </c>
      <c r="P147" s="6">
        <v>57.7</v>
      </c>
      <c r="Q147" s="6">
        <v>6671</v>
      </c>
      <c r="R147" s="1">
        <f t="shared" si="0"/>
        <v>39.747399702823181</v>
      </c>
      <c r="S147">
        <v>2007</v>
      </c>
      <c r="T147">
        <f t="shared" si="1"/>
        <v>535</v>
      </c>
    </row>
    <row r="148" spans="1:20" x14ac:dyDescent="0.2">
      <c r="A148" s="6">
        <v>2008</v>
      </c>
      <c r="B148" s="6">
        <v>935</v>
      </c>
      <c r="C148" s="6">
        <v>68</v>
      </c>
      <c r="D148" s="6">
        <v>1329</v>
      </c>
      <c r="E148" s="6">
        <v>409</v>
      </c>
      <c r="F148" s="6"/>
      <c r="G148" s="6">
        <v>79</v>
      </c>
      <c r="H148" s="6">
        <v>1285</v>
      </c>
      <c r="I148" s="6">
        <v>1138</v>
      </c>
      <c r="J148" s="6">
        <v>110</v>
      </c>
      <c r="K148" s="6">
        <v>146</v>
      </c>
      <c r="L148" s="6">
        <v>284</v>
      </c>
      <c r="M148" s="6">
        <v>486</v>
      </c>
      <c r="N148" s="10">
        <v>0.53500000000000003</v>
      </c>
      <c r="O148" s="6">
        <v>18.899999999999999</v>
      </c>
      <c r="P148" s="6">
        <v>58.6</v>
      </c>
      <c r="Q148" s="6">
        <v>6750</v>
      </c>
      <c r="R148" s="1">
        <f t="shared" si="0"/>
        <v>40.632054176072238</v>
      </c>
      <c r="S148">
        <v>2008</v>
      </c>
      <c r="T148">
        <f t="shared" si="1"/>
        <v>540</v>
      </c>
    </row>
    <row r="149" spans="1:20" ht="17" thickBot="1" x14ac:dyDescent="0.25">
      <c r="A149" s="8">
        <v>2009</v>
      </c>
      <c r="B149" s="8">
        <v>914</v>
      </c>
      <c r="C149" s="8">
        <v>64</v>
      </c>
      <c r="D149" s="8">
        <v>1232</v>
      </c>
      <c r="E149" s="8">
        <v>351</v>
      </c>
      <c r="F149" s="8"/>
      <c r="G149" s="8">
        <v>68</v>
      </c>
      <c r="H149" s="8">
        <v>1202</v>
      </c>
      <c r="I149" s="8">
        <v>1069</v>
      </c>
      <c r="J149" s="8">
        <v>82</v>
      </c>
      <c r="K149" s="8">
        <v>133</v>
      </c>
      <c r="L149" s="8">
        <v>233</v>
      </c>
      <c r="M149" s="8">
        <v>499</v>
      </c>
      <c r="N149" s="9">
        <v>0.53700000000000003</v>
      </c>
      <c r="O149" s="8">
        <v>19.5</v>
      </c>
      <c r="P149" s="8">
        <v>57.5</v>
      </c>
      <c r="Q149" s="8">
        <v>6829</v>
      </c>
      <c r="R149" s="1">
        <f t="shared" si="0"/>
        <v>36.363636363636367</v>
      </c>
      <c r="S149">
        <v>2009</v>
      </c>
      <c r="T149">
        <f t="shared" si="1"/>
        <v>448</v>
      </c>
    </row>
    <row r="150" spans="1:20" x14ac:dyDescent="0.2">
      <c r="A150" s="6">
        <v>2010</v>
      </c>
      <c r="B150" s="6">
        <v>1026</v>
      </c>
      <c r="C150" s="6">
        <v>70</v>
      </c>
      <c r="D150" s="6">
        <v>1417</v>
      </c>
      <c r="E150" s="6">
        <v>411</v>
      </c>
      <c r="F150" s="6"/>
      <c r="G150" s="6">
        <v>77</v>
      </c>
      <c r="H150" s="6">
        <v>1366</v>
      </c>
      <c r="I150" s="6">
        <v>1213</v>
      </c>
      <c r="J150" s="6">
        <v>109</v>
      </c>
      <c r="K150" s="6">
        <v>153</v>
      </c>
      <c r="L150" s="6">
        <v>278</v>
      </c>
      <c r="M150" s="6">
        <v>514</v>
      </c>
      <c r="N150" s="10">
        <v>0.54500000000000004</v>
      </c>
      <c r="O150" s="6">
        <v>20.2</v>
      </c>
      <c r="P150" s="6">
        <v>59.3</v>
      </c>
      <c r="Q150" s="6">
        <v>6909</v>
      </c>
      <c r="R150" s="1">
        <f t="shared" si="0"/>
        <v>38.108680310515176</v>
      </c>
      <c r="S150">
        <v>2010</v>
      </c>
      <c r="T150">
        <f t="shared" si="1"/>
        <v>540</v>
      </c>
    </row>
    <row r="151" spans="1:20" x14ac:dyDescent="0.2">
      <c r="A151" s="6">
        <v>2011</v>
      </c>
      <c r="B151" s="6">
        <v>1094</v>
      </c>
      <c r="C151" s="6">
        <v>73</v>
      </c>
      <c r="D151" s="6">
        <v>1520</v>
      </c>
      <c r="E151" s="6">
        <v>454</v>
      </c>
      <c r="F151" s="6"/>
      <c r="G151" s="6">
        <v>81</v>
      </c>
      <c r="H151" s="6">
        <v>1465</v>
      </c>
      <c r="I151" s="6">
        <v>1301</v>
      </c>
      <c r="J151" s="6">
        <v>116</v>
      </c>
      <c r="K151" s="6">
        <v>164</v>
      </c>
      <c r="L151" s="6">
        <v>305</v>
      </c>
      <c r="M151" s="6">
        <v>529</v>
      </c>
      <c r="N151" s="10">
        <v>0.55300000000000005</v>
      </c>
      <c r="O151" s="6">
        <v>21</v>
      </c>
      <c r="P151" s="6">
        <v>61.2</v>
      </c>
      <c r="Q151" s="6">
        <v>6988</v>
      </c>
      <c r="R151" s="1">
        <f t="shared" si="0"/>
        <v>38.486842105263158</v>
      </c>
      <c r="S151">
        <v>2011</v>
      </c>
      <c r="T151">
        <f t="shared" si="1"/>
        <v>585</v>
      </c>
    </row>
    <row r="152" spans="1:20" ht="17" thickBot="1" x14ac:dyDescent="0.25">
      <c r="A152" s="8">
        <v>2012</v>
      </c>
      <c r="B152" s="8">
        <v>1124</v>
      </c>
      <c r="C152" s="8">
        <v>77</v>
      </c>
      <c r="D152" s="8">
        <v>1553</v>
      </c>
      <c r="E152" s="8">
        <v>444</v>
      </c>
      <c r="F152" s="8"/>
      <c r="G152" s="8">
        <v>81</v>
      </c>
      <c r="H152" s="8">
        <v>1495</v>
      </c>
      <c r="I152" s="8">
        <v>1328</v>
      </c>
      <c r="J152" s="8">
        <v>117</v>
      </c>
      <c r="K152" s="8">
        <v>167</v>
      </c>
      <c r="L152" s="8">
        <v>303</v>
      </c>
      <c r="M152" s="8">
        <v>546</v>
      </c>
      <c r="N152" s="9">
        <v>0.55600000000000005</v>
      </c>
      <c r="O152" s="8">
        <v>21.7</v>
      </c>
      <c r="P152" s="8">
        <v>63.1</v>
      </c>
      <c r="Q152" s="8">
        <v>7067</v>
      </c>
      <c r="R152" s="1">
        <f t="shared" si="0"/>
        <v>37.797810688989053</v>
      </c>
      <c r="S152">
        <v>2012</v>
      </c>
      <c r="T152">
        <f t="shared" si="1"/>
        <v>587</v>
      </c>
    </row>
    <row r="153" spans="1:20" x14ac:dyDescent="0.2">
      <c r="A153" s="6">
        <v>2013</v>
      </c>
      <c r="B153" s="6">
        <v>1148</v>
      </c>
      <c r="C153" s="6">
        <v>78</v>
      </c>
      <c r="D153" s="6">
        <v>1570</v>
      </c>
      <c r="E153" s="6">
        <v>435</v>
      </c>
      <c r="F153" s="6">
        <v>15</v>
      </c>
      <c r="G153" s="6">
        <v>81</v>
      </c>
      <c r="H153" s="6">
        <v>1510</v>
      </c>
      <c r="I153" s="6">
        <v>1343</v>
      </c>
      <c r="J153" s="6">
        <v>117</v>
      </c>
      <c r="K153" s="6">
        <v>168</v>
      </c>
      <c r="L153" s="6">
        <v>312</v>
      </c>
      <c r="M153" s="6">
        <v>564</v>
      </c>
      <c r="N153" s="10">
        <v>0.55800000000000005</v>
      </c>
      <c r="O153" s="6">
        <v>22.5</v>
      </c>
      <c r="P153" s="6">
        <v>65.099999999999994</v>
      </c>
      <c r="Q153" s="6">
        <v>7146</v>
      </c>
      <c r="R153" s="1">
        <f t="shared" si="0"/>
        <v>38.025477707006367</v>
      </c>
      <c r="S153">
        <v>2013</v>
      </c>
      <c r="T153">
        <f t="shared" si="1"/>
        <v>597</v>
      </c>
    </row>
    <row r="154" spans="1:20" x14ac:dyDescent="0.2">
      <c r="A154" s="6">
        <v>2014</v>
      </c>
      <c r="B154" s="6">
        <v>1153</v>
      </c>
      <c r="C154" s="6">
        <v>79</v>
      </c>
      <c r="D154" s="6">
        <v>1586</v>
      </c>
      <c r="E154" s="6">
        <v>444</v>
      </c>
      <c r="F154" s="6">
        <v>15</v>
      </c>
      <c r="G154" s="6">
        <v>80</v>
      </c>
      <c r="H154" s="6">
        <v>1526</v>
      </c>
      <c r="I154" s="6">
        <v>1357</v>
      </c>
      <c r="J154" s="6">
        <v>117</v>
      </c>
      <c r="K154" s="6">
        <v>169</v>
      </c>
      <c r="L154" s="6">
        <v>321</v>
      </c>
      <c r="M154" s="6">
        <v>584</v>
      </c>
      <c r="N154" s="10">
        <v>0.55700000000000005</v>
      </c>
      <c r="O154" s="6">
        <v>23.3</v>
      </c>
      <c r="P154" s="6">
        <v>67.2</v>
      </c>
      <c r="Q154" s="6">
        <v>7225</v>
      </c>
      <c r="R154" s="1">
        <f t="shared" si="0"/>
        <v>38.272383354350566</v>
      </c>
      <c r="S154">
        <v>2014</v>
      </c>
      <c r="T154">
        <f t="shared" si="1"/>
        <v>607</v>
      </c>
    </row>
    <row r="155" spans="1:20" x14ac:dyDescent="0.2">
      <c r="A155" s="6">
        <v>2015</v>
      </c>
      <c r="B155" s="6">
        <v>1158</v>
      </c>
      <c r="C155" s="6">
        <v>80</v>
      </c>
      <c r="D155" s="6">
        <v>1603</v>
      </c>
      <c r="E155" s="6">
        <v>453</v>
      </c>
      <c r="F155" s="6">
        <v>15</v>
      </c>
      <c r="G155" s="6">
        <v>79</v>
      </c>
      <c r="H155" s="6">
        <v>1541</v>
      </c>
      <c r="I155" s="6">
        <v>1371</v>
      </c>
      <c r="J155" s="6">
        <v>117</v>
      </c>
      <c r="K155" s="6">
        <v>170</v>
      </c>
      <c r="L155" s="6">
        <v>331</v>
      </c>
      <c r="M155" s="6">
        <v>605</v>
      </c>
      <c r="N155" s="10">
        <v>0.55400000000000005</v>
      </c>
      <c r="O155" s="6">
        <v>24.1</v>
      </c>
      <c r="P155" s="6">
        <v>69.3</v>
      </c>
      <c r="Q155" s="6">
        <v>7302</v>
      </c>
      <c r="R155" s="1">
        <f t="shared" si="0"/>
        <v>38.552713661883971</v>
      </c>
      <c r="S155">
        <v>2015</v>
      </c>
      <c r="T155">
        <f t="shared" si="1"/>
        <v>618</v>
      </c>
    </row>
    <row r="156" spans="1:20" x14ac:dyDescent="0.2">
      <c r="A156" s="6">
        <v>2016</v>
      </c>
      <c r="B156" s="6">
        <v>1162</v>
      </c>
      <c r="C156" s="6">
        <v>81</v>
      </c>
      <c r="D156" s="6">
        <v>1620</v>
      </c>
      <c r="E156" s="6">
        <v>463</v>
      </c>
      <c r="F156" s="6">
        <v>15</v>
      </c>
      <c r="G156" s="6">
        <v>79</v>
      </c>
      <c r="H156" s="6">
        <v>1557</v>
      </c>
      <c r="I156" s="6">
        <v>1385</v>
      </c>
      <c r="J156" s="6">
        <v>117</v>
      </c>
      <c r="K156" s="6">
        <v>171</v>
      </c>
      <c r="L156" s="6">
        <v>341</v>
      </c>
      <c r="M156" s="6">
        <v>628</v>
      </c>
      <c r="N156" s="10">
        <v>0.54900000000000004</v>
      </c>
      <c r="O156" s="6">
        <v>24.8</v>
      </c>
      <c r="P156" s="6">
        <v>71.400000000000006</v>
      </c>
      <c r="Q156" s="6">
        <v>7379</v>
      </c>
      <c r="R156" s="1">
        <f t="shared" si="0"/>
        <v>38.827160493827158</v>
      </c>
      <c r="S156">
        <v>2016</v>
      </c>
      <c r="T156">
        <f t="shared" si="1"/>
        <v>628.99999999999989</v>
      </c>
    </row>
    <row r="157" spans="1:20" x14ac:dyDescent="0.2">
      <c r="A157" s="6">
        <v>2017</v>
      </c>
      <c r="B157" s="6">
        <v>1165</v>
      </c>
      <c r="C157" s="6">
        <v>82</v>
      </c>
      <c r="D157" s="6">
        <v>1636</v>
      </c>
      <c r="E157" s="6">
        <v>474</v>
      </c>
      <c r="F157" s="6">
        <v>15</v>
      </c>
      <c r="G157" s="6">
        <v>78</v>
      </c>
      <c r="H157" s="6">
        <v>1572</v>
      </c>
      <c r="I157" s="6">
        <v>1400</v>
      </c>
      <c r="J157" s="6">
        <v>117</v>
      </c>
      <c r="K157" s="6">
        <v>172</v>
      </c>
      <c r="L157" s="6">
        <v>352</v>
      </c>
      <c r="M157" s="6">
        <v>652</v>
      </c>
      <c r="N157" s="10">
        <v>0.54600000000000004</v>
      </c>
      <c r="O157" s="6">
        <v>25.6</v>
      </c>
      <c r="P157" s="6">
        <v>73.599999999999994</v>
      </c>
      <c r="Q157" s="6">
        <v>7455</v>
      </c>
      <c r="R157" s="1">
        <f t="shared" si="0"/>
        <v>39.180929095354522</v>
      </c>
      <c r="S157">
        <v>2017</v>
      </c>
      <c r="T157">
        <f t="shared" si="1"/>
        <v>641</v>
      </c>
    </row>
    <row r="158" spans="1:20" x14ac:dyDescent="0.2">
      <c r="A158" s="6">
        <v>2018</v>
      </c>
      <c r="B158" s="6">
        <v>1168</v>
      </c>
      <c r="C158" s="6">
        <v>82</v>
      </c>
      <c r="D158" s="6">
        <v>1653</v>
      </c>
      <c r="E158" s="6">
        <v>485</v>
      </c>
      <c r="F158" s="6">
        <v>15</v>
      </c>
      <c r="G158" s="6">
        <v>77</v>
      </c>
      <c r="H158" s="6">
        <v>1588</v>
      </c>
      <c r="I158" s="6">
        <v>1414</v>
      </c>
      <c r="J158" s="6">
        <v>116</v>
      </c>
      <c r="K158" s="6">
        <v>173</v>
      </c>
      <c r="L158" s="6">
        <v>363</v>
      </c>
      <c r="M158" s="6">
        <v>677</v>
      </c>
      <c r="N158" s="10">
        <v>0.54100000000000004</v>
      </c>
      <c r="O158" s="6">
        <v>26.3</v>
      </c>
      <c r="P158" s="6">
        <v>75.900000000000006</v>
      </c>
      <c r="Q158" s="6">
        <v>7529</v>
      </c>
      <c r="R158" s="1">
        <f t="shared" si="0"/>
        <v>39.443436176648518</v>
      </c>
      <c r="S158">
        <v>2018</v>
      </c>
      <c r="T158">
        <f t="shared" si="1"/>
        <v>652</v>
      </c>
    </row>
    <row r="159" spans="1:20" ht="17" thickBot="1" x14ac:dyDescent="0.25">
      <c r="A159" s="8">
        <v>2019</v>
      </c>
      <c r="B159" s="8">
        <v>1171</v>
      </c>
      <c r="C159" s="8">
        <v>83</v>
      </c>
      <c r="D159" s="8">
        <v>1670</v>
      </c>
      <c r="E159" s="8">
        <v>497</v>
      </c>
      <c r="F159" s="8">
        <v>15</v>
      </c>
      <c r="G159" s="8">
        <v>76</v>
      </c>
      <c r="H159" s="8">
        <v>1603</v>
      </c>
      <c r="I159" s="8">
        <v>1429</v>
      </c>
      <c r="J159" s="8">
        <v>116</v>
      </c>
      <c r="K159" s="8">
        <v>175</v>
      </c>
      <c r="L159" s="8">
        <v>375</v>
      </c>
      <c r="M159" s="8">
        <v>703</v>
      </c>
      <c r="N159" s="9">
        <v>0.54700000000000004</v>
      </c>
      <c r="O159" s="8">
        <v>27</v>
      </c>
      <c r="P159" s="8">
        <v>78.2</v>
      </c>
      <c r="Q159" s="8">
        <v>7603</v>
      </c>
      <c r="R159" s="1">
        <f t="shared" si="0"/>
        <v>39.880239520958085</v>
      </c>
      <c r="S159">
        <v>2019</v>
      </c>
      <c r="T159">
        <f t="shared" si="1"/>
        <v>666</v>
      </c>
    </row>
    <row r="160" spans="1:20" x14ac:dyDescent="0.2">
      <c r="A160" s="6">
        <v>2020</v>
      </c>
      <c r="B160" s="6">
        <v>1173</v>
      </c>
      <c r="C160" s="6">
        <v>84</v>
      </c>
      <c r="D160" s="6">
        <v>1687</v>
      </c>
      <c r="E160" s="6">
        <v>509</v>
      </c>
      <c r="F160" s="6">
        <v>15</v>
      </c>
      <c r="G160" s="6">
        <v>76</v>
      </c>
      <c r="H160" s="6">
        <v>1619</v>
      </c>
      <c r="I160" s="6">
        <v>1443</v>
      </c>
      <c r="J160" s="6">
        <v>116</v>
      </c>
      <c r="K160" s="6">
        <v>176</v>
      </c>
      <c r="L160" s="6">
        <v>387</v>
      </c>
      <c r="M160" s="6">
        <v>730</v>
      </c>
      <c r="N160" s="10">
        <v>0.54500000000000004</v>
      </c>
      <c r="O160" s="6">
        <v>27.7</v>
      </c>
      <c r="P160" s="6">
        <v>80.599999999999994</v>
      </c>
      <c r="Q160" s="6">
        <v>7675</v>
      </c>
      <c r="R160" s="1">
        <f t="shared" si="0"/>
        <v>40.248962655601659</v>
      </c>
      <c r="S160">
        <v>2020</v>
      </c>
      <c r="T160">
        <f t="shared" si="1"/>
        <v>679</v>
      </c>
    </row>
    <row r="161" spans="1:18" x14ac:dyDescent="0.2">
      <c r="A161" s="6">
        <v>2025</v>
      </c>
      <c r="B161" s="6">
        <v>1173</v>
      </c>
      <c r="C161" s="6">
        <v>88</v>
      </c>
      <c r="D161" s="6">
        <v>1770</v>
      </c>
      <c r="E161" s="6">
        <v>583</v>
      </c>
      <c r="F161" s="6">
        <v>15</v>
      </c>
      <c r="G161" s="6">
        <v>72</v>
      </c>
      <c r="H161" s="6">
        <v>1696</v>
      </c>
      <c r="I161" s="6">
        <v>1515</v>
      </c>
      <c r="J161" s="6">
        <v>115</v>
      </c>
      <c r="K161" s="6">
        <v>181</v>
      </c>
      <c r="L161" s="6">
        <v>458</v>
      </c>
      <c r="M161" s="6">
        <v>869</v>
      </c>
      <c r="N161" s="11">
        <v>0.53200000000000003</v>
      </c>
      <c r="O161" s="6">
        <v>31.1</v>
      </c>
      <c r="P161" s="6">
        <v>93.6</v>
      </c>
      <c r="Q161" s="6">
        <v>8012</v>
      </c>
      <c r="R161" s="1">
        <f t="shared" si="0"/>
        <v>42.598870056497177</v>
      </c>
    </row>
    <row r="162" spans="1:18" x14ac:dyDescent="0.2">
      <c r="A162" s="6">
        <v>2030</v>
      </c>
      <c r="B162" s="6">
        <v>1173</v>
      </c>
      <c r="C162" s="6">
        <v>92</v>
      </c>
      <c r="D162" s="6">
        <v>1854</v>
      </c>
      <c r="E162" s="6">
        <v>658</v>
      </c>
      <c r="F162" s="6">
        <v>15</v>
      </c>
      <c r="G162" s="6">
        <v>69</v>
      </c>
      <c r="H162" s="6">
        <v>1774</v>
      </c>
      <c r="I162" s="6">
        <v>1588</v>
      </c>
      <c r="J162" s="6">
        <v>113</v>
      </c>
      <c r="K162" s="6">
        <v>186</v>
      </c>
      <c r="L162" s="6">
        <v>530</v>
      </c>
      <c r="M162" s="12">
        <v>1004</v>
      </c>
      <c r="N162" s="11">
        <v>0.52700000000000002</v>
      </c>
      <c r="O162" s="6">
        <v>34.1</v>
      </c>
      <c r="P162" s="6">
        <v>108</v>
      </c>
      <c r="Q162" s="6">
        <v>8309</v>
      </c>
      <c r="R162" s="1">
        <f t="shared" si="0"/>
        <v>44.714131607335489</v>
      </c>
    </row>
    <row r="163" spans="1:18" x14ac:dyDescent="0.2">
      <c r="A163" s="6">
        <v>2035</v>
      </c>
      <c r="B163" s="6">
        <v>1188</v>
      </c>
      <c r="C163" s="6">
        <v>97</v>
      </c>
      <c r="D163" s="6">
        <v>1946</v>
      </c>
      <c r="E163" s="6">
        <v>722</v>
      </c>
      <c r="F163" s="6">
        <v>16</v>
      </c>
      <c r="G163" s="6">
        <v>66</v>
      </c>
      <c r="H163" s="6">
        <v>1861</v>
      </c>
      <c r="I163" s="6">
        <v>1669</v>
      </c>
      <c r="J163" s="6">
        <v>112</v>
      </c>
      <c r="K163" s="6">
        <v>192</v>
      </c>
      <c r="L163" s="6">
        <v>595</v>
      </c>
      <c r="M163" s="12">
        <v>1128</v>
      </c>
      <c r="N163" s="11">
        <v>0.52700000000000002</v>
      </c>
      <c r="O163" s="6">
        <v>36.9</v>
      </c>
      <c r="P163" s="6">
        <v>124</v>
      </c>
      <c r="Q163" s="6">
        <v>8571</v>
      </c>
      <c r="R163" s="1">
        <f t="shared" si="0"/>
        <v>46.197327852004108</v>
      </c>
    </row>
    <row r="164" spans="1:18" x14ac:dyDescent="0.2">
      <c r="A164" s="6">
        <v>2040</v>
      </c>
      <c r="B164" s="6">
        <v>1211</v>
      </c>
      <c r="C164" s="6">
        <v>102</v>
      </c>
      <c r="D164" s="6">
        <v>2038</v>
      </c>
      <c r="E164" s="6">
        <v>779</v>
      </c>
      <c r="F164" s="6">
        <v>16</v>
      </c>
      <c r="G164" s="6">
        <v>63</v>
      </c>
      <c r="H164" s="6">
        <v>1948</v>
      </c>
      <c r="I164" s="6">
        <v>1751</v>
      </c>
      <c r="J164" s="6">
        <v>110</v>
      </c>
      <c r="K164" s="6">
        <v>197</v>
      </c>
      <c r="L164" s="6">
        <v>655</v>
      </c>
      <c r="M164" s="12">
        <v>1241</v>
      </c>
      <c r="N164" s="11">
        <v>0.52700000000000002</v>
      </c>
      <c r="O164" s="6">
        <v>39.5</v>
      </c>
      <c r="P164" s="6">
        <v>142</v>
      </c>
      <c r="Q164" s="6">
        <v>8801</v>
      </c>
      <c r="R164" s="1">
        <f t="shared" si="0"/>
        <v>47.20314033366045</v>
      </c>
    </row>
    <row r="165" spans="1:18" ht="17" thickBot="1" x14ac:dyDescent="0.25">
      <c r="A165" s="8">
        <v>2045</v>
      </c>
      <c r="B165" s="8">
        <v>1229</v>
      </c>
      <c r="C165" s="8">
        <v>106</v>
      </c>
      <c r="D165" s="8">
        <v>2122</v>
      </c>
      <c r="E165" s="8">
        <v>832</v>
      </c>
      <c r="F165" s="8">
        <v>16</v>
      </c>
      <c r="G165" s="8">
        <v>59</v>
      </c>
      <c r="H165" s="8">
        <v>2027</v>
      </c>
      <c r="I165" s="8">
        <v>1826</v>
      </c>
      <c r="J165" s="8">
        <v>108</v>
      </c>
      <c r="K165" s="8">
        <v>202</v>
      </c>
      <c r="L165" s="8">
        <v>711</v>
      </c>
      <c r="M165" s="13">
        <v>1347</v>
      </c>
      <c r="N165" s="14">
        <v>0.52700000000000002</v>
      </c>
      <c r="O165" s="8">
        <v>42</v>
      </c>
      <c r="P165" s="8">
        <v>160</v>
      </c>
      <c r="Q165" s="8">
        <v>8996</v>
      </c>
      <c r="R165" s="1">
        <f t="shared" si="0"/>
        <v>48.114985862393965</v>
      </c>
    </row>
    <row r="166" spans="1:18" x14ac:dyDescent="0.2">
      <c r="A166" s="6">
        <v>2050</v>
      </c>
      <c r="B166" s="6">
        <v>1242</v>
      </c>
      <c r="C166" s="6">
        <v>109</v>
      </c>
      <c r="D166" s="6">
        <v>2194</v>
      </c>
      <c r="E166" s="6">
        <v>881</v>
      </c>
      <c r="F166" s="6">
        <v>16</v>
      </c>
      <c r="G166" s="6">
        <v>56</v>
      </c>
      <c r="H166" s="6">
        <v>2096</v>
      </c>
      <c r="I166" s="6">
        <v>1892</v>
      </c>
      <c r="J166" s="6">
        <v>104</v>
      </c>
      <c r="K166" s="6">
        <v>205</v>
      </c>
      <c r="L166" s="6">
        <v>764</v>
      </c>
      <c r="M166" s="12">
        <v>1448</v>
      </c>
      <c r="N166" s="11">
        <v>0.52700000000000002</v>
      </c>
      <c r="O166" s="6">
        <v>44.3</v>
      </c>
      <c r="P166" s="6">
        <v>178</v>
      </c>
      <c r="Q166" s="6">
        <v>9150</v>
      </c>
      <c r="R166" s="1">
        <f t="shared" si="0"/>
        <v>48.906107566089332</v>
      </c>
    </row>
    <row r="167" spans="1:18" x14ac:dyDescent="0.2">
      <c r="A167" s="6">
        <v>2055</v>
      </c>
      <c r="B167" s="6">
        <v>1253</v>
      </c>
      <c r="C167" s="6">
        <v>113</v>
      </c>
      <c r="D167" s="6">
        <v>2261</v>
      </c>
      <c r="E167" s="6">
        <v>925</v>
      </c>
      <c r="F167" s="6">
        <v>16</v>
      </c>
      <c r="G167" s="6">
        <v>52</v>
      </c>
      <c r="H167" s="6">
        <v>2160</v>
      </c>
      <c r="I167" s="6">
        <v>1953</v>
      </c>
      <c r="J167" s="6">
        <v>100</v>
      </c>
      <c r="K167" s="6">
        <v>207</v>
      </c>
      <c r="L167" s="6">
        <v>813</v>
      </c>
      <c r="M167" s="12">
        <v>1542</v>
      </c>
      <c r="N167" s="11">
        <v>0.52700000000000002</v>
      </c>
      <c r="O167" s="6">
        <v>46.4</v>
      </c>
      <c r="P167" s="6">
        <v>194</v>
      </c>
      <c r="Q167" s="6">
        <v>9194</v>
      </c>
      <c r="R167" s="1">
        <f t="shared" si="0"/>
        <v>49.535603715170282</v>
      </c>
    </row>
    <row r="168" spans="1:18" x14ac:dyDescent="0.2">
      <c r="A168" s="6">
        <v>2060</v>
      </c>
      <c r="B168" s="6">
        <v>1270</v>
      </c>
      <c r="C168" s="6">
        <v>116</v>
      </c>
      <c r="D168" s="6">
        <v>2327</v>
      </c>
      <c r="E168" s="6">
        <v>965</v>
      </c>
      <c r="F168" s="6">
        <v>16</v>
      </c>
      <c r="G168" s="6">
        <v>49</v>
      </c>
      <c r="H168" s="6">
        <v>2225</v>
      </c>
      <c r="I168" s="6">
        <v>2016</v>
      </c>
      <c r="J168" s="6">
        <v>96</v>
      </c>
      <c r="K168" s="6">
        <v>209</v>
      </c>
      <c r="L168" s="6">
        <v>859</v>
      </c>
      <c r="M168" s="12">
        <v>1628</v>
      </c>
      <c r="N168" s="11">
        <v>0.52700000000000002</v>
      </c>
      <c r="O168" s="6">
        <v>48.4</v>
      </c>
      <c r="P168" s="6">
        <v>212</v>
      </c>
      <c r="Q168" s="6">
        <v>9230</v>
      </c>
      <c r="R168" s="1">
        <f t="shared" si="0"/>
        <v>50.02148689299527</v>
      </c>
    </row>
    <row r="169" spans="1:18" x14ac:dyDescent="0.2">
      <c r="A169" s="6">
        <v>2065</v>
      </c>
      <c r="B169" s="6">
        <v>1278</v>
      </c>
      <c r="C169" s="6">
        <v>119</v>
      </c>
      <c r="D169" s="6">
        <v>2381</v>
      </c>
      <c r="E169" s="6">
        <v>999</v>
      </c>
      <c r="F169" s="6">
        <v>16</v>
      </c>
      <c r="G169" s="6">
        <v>45</v>
      </c>
      <c r="H169" s="6">
        <v>2277</v>
      </c>
      <c r="I169" s="6">
        <v>2067</v>
      </c>
      <c r="J169" s="6">
        <v>92</v>
      </c>
      <c r="K169" s="6">
        <v>210</v>
      </c>
      <c r="L169" s="6">
        <v>900</v>
      </c>
      <c r="M169" s="12">
        <v>1707</v>
      </c>
      <c r="N169" s="11">
        <v>0.52700000000000002</v>
      </c>
      <c r="O169" s="6">
        <v>50.2</v>
      </c>
      <c r="P169" s="6">
        <v>231</v>
      </c>
      <c r="Q169" s="6">
        <v>9264</v>
      </c>
      <c r="R169" s="1">
        <f t="shared" si="0"/>
        <v>50.482990340193197</v>
      </c>
    </row>
    <row r="170" spans="1:18" x14ac:dyDescent="0.2">
      <c r="A170" s="6">
        <v>2070</v>
      </c>
      <c r="B170" s="6">
        <v>1290</v>
      </c>
      <c r="C170" s="6">
        <v>121</v>
      </c>
      <c r="D170" s="6">
        <v>2434</v>
      </c>
      <c r="E170" s="6">
        <v>1029</v>
      </c>
      <c r="F170" s="6">
        <v>15</v>
      </c>
      <c r="G170" s="6">
        <v>42</v>
      </c>
      <c r="H170" s="6">
        <v>2330</v>
      </c>
      <c r="I170" s="6">
        <v>2120</v>
      </c>
      <c r="J170" s="6">
        <v>87</v>
      </c>
      <c r="K170" s="6">
        <v>211</v>
      </c>
      <c r="L170" s="6">
        <v>938</v>
      </c>
      <c r="M170" s="12">
        <v>1779</v>
      </c>
      <c r="N170" s="11">
        <v>0.52700000000000002</v>
      </c>
      <c r="O170" s="6">
        <v>52</v>
      </c>
      <c r="P170" s="6">
        <v>252</v>
      </c>
      <c r="Q170" s="6">
        <v>9274</v>
      </c>
      <c r="R170" s="1">
        <f t="shared" si="0"/>
        <v>50.780608052588335</v>
      </c>
    </row>
    <row r="171" spans="1:18" x14ac:dyDescent="0.2">
      <c r="A171" s="6">
        <v>2075</v>
      </c>
      <c r="B171" s="6">
        <v>1295</v>
      </c>
      <c r="C171" s="6">
        <v>123</v>
      </c>
      <c r="D171" s="6">
        <v>2476</v>
      </c>
      <c r="E171" s="6">
        <v>1055</v>
      </c>
      <c r="F171" s="6">
        <v>15</v>
      </c>
      <c r="G171" s="6">
        <v>39</v>
      </c>
      <c r="H171" s="6">
        <v>2373</v>
      </c>
      <c r="I171" s="6">
        <v>2162</v>
      </c>
      <c r="J171" s="6">
        <v>81</v>
      </c>
      <c r="K171" s="6">
        <v>210</v>
      </c>
      <c r="L171" s="6">
        <v>973</v>
      </c>
      <c r="M171" s="12">
        <v>1845</v>
      </c>
      <c r="N171" s="11">
        <v>0.52700000000000002</v>
      </c>
      <c r="O171" s="6">
        <v>53.6</v>
      </c>
      <c r="P171" s="6">
        <v>274</v>
      </c>
      <c r="Q171" s="6">
        <v>9284</v>
      </c>
      <c r="R171" s="1">
        <f t="shared" si="0"/>
        <v>51.050080775444265</v>
      </c>
    </row>
    <row r="172" spans="1:18" x14ac:dyDescent="0.2">
      <c r="A172" s="6">
        <v>2080</v>
      </c>
      <c r="B172" s="6">
        <v>1304</v>
      </c>
      <c r="C172" s="6">
        <v>125</v>
      </c>
      <c r="D172" s="6">
        <v>2518</v>
      </c>
      <c r="E172" s="6">
        <v>1078</v>
      </c>
      <c r="F172" s="6">
        <v>14</v>
      </c>
      <c r="G172" s="6">
        <v>36</v>
      </c>
      <c r="H172" s="6">
        <v>2415</v>
      </c>
      <c r="I172" s="6">
        <v>2205</v>
      </c>
      <c r="J172" s="6">
        <v>75</v>
      </c>
      <c r="K172" s="6">
        <v>210</v>
      </c>
      <c r="L172" s="12">
        <v>1005</v>
      </c>
      <c r="M172" s="12">
        <v>1906</v>
      </c>
      <c r="N172" s="11">
        <v>0.52700000000000002</v>
      </c>
      <c r="O172" s="6">
        <v>55.1</v>
      </c>
      <c r="P172" s="6">
        <v>298</v>
      </c>
      <c r="Q172" s="6">
        <v>9286</v>
      </c>
      <c r="R172" s="1">
        <f t="shared" si="0"/>
        <v>51.231135822081015</v>
      </c>
    </row>
    <row r="173" spans="1:18" x14ac:dyDescent="0.2">
      <c r="A173" s="6">
        <v>2085</v>
      </c>
      <c r="B173" s="6">
        <v>1304</v>
      </c>
      <c r="C173" s="6">
        <v>127</v>
      </c>
      <c r="D173" s="6">
        <v>2549</v>
      </c>
      <c r="E173" s="6">
        <v>1098</v>
      </c>
      <c r="F173" s="6">
        <v>14</v>
      </c>
      <c r="G173" s="6">
        <v>33</v>
      </c>
      <c r="H173" s="6">
        <v>2448</v>
      </c>
      <c r="I173" s="6">
        <v>2239</v>
      </c>
      <c r="J173" s="6">
        <v>69</v>
      </c>
      <c r="K173" s="6">
        <v>208</v>
      </c>
      <c r="L173" s="12">
        <v>1035</v>
      </c>
      <c r="M173" s="12">
        <v>1963</v>
      </c>
      <c r="N173" s="11">
        <v>0.52700000000000002</v>
      </c>
      <c r="O173" s="6">
        <v>56.6</v>
      </c>
      <c r="P173" s="6">
        <v>324</v>
      </c>
      <c r="Q173" s="6">
        <v>9289</v>
      </c>
      <c r="R173" s="1">
        <f t="shared" si="0"/>
        <v>51.471165162808944</v>
      </c>
    </row>
    <row r="174" spans="1:18" x14ac:dyDescent="0.2">
      <c r="A174" s="6">
        <v>2090</v>
      </c>
      <c r="B174" s="6">
        <v>1308</v>
      </c>
      <c r="C174" s="6">
        <v>129</v>
      </c>
      <c r="D174" s="6">
        <v>2579</v>
      </c>
      <c r="E174" s="6">
        <v>1115</v>
      </c>
      <c r="F174" s="6">
        <v>13</v>
      </c>
      <c r="G174" s="6">
        <v>31</v>
      </c>
      <c r="H174" s="6">
        <v>2480</v>
      </c>
      <c r="I174" s="6">
        <v>2273</v>
      </c>
      <c r="J174" s="6">
        <v>63</v>
      </c>
      <c r="K174" s="6">
        <v>207</v>
      </c>
      <c r="L174" s="12">
        <v>1063</v>
      </c>
      <c r="M174" s="12">
        <v>2015</v>
      </c>
      <c r="N174" s="11">
        <v>0.52700000000000002</v>
      </c>
      <c r="O174" s="6">
        <v>57.9</v>
      </c>
      <c r="P174" s="6">
        <v>351</v>
      </c>
      <c r="Q174" s="6">
        <v>9288</v>
      </c>
      <c r="R174" s="1">
        <f t="shared" si="0"/>
        <v>51.686700271423035</v>
      </c>
    </row>
    <row r="175" spans="1:18" x14ac:dyDescent="0.2">
      <c r="A175" s="6">
        <v>2095</v>
      </c>
      <c r="B175" s="6">
        <v>1303</v>
      </c>
      <c r="C175" s="6">
        <v>130</v>
      </c>
      <c r="D175" s="6">
        <v>2600</v>
      </c>
      <c r="E175" s="6">
        <v>1130</v>
      </c>
      <c r="F175" s="6">
        <v>13</v>
      </c>
      <c r="G175" s="6">
        <v>28</v>
      </c>
      <c r="H175" s="6">
        <v>2503</v>
      </c>
      <c r="I175" s="6">
        <v>2299</v>
      </c>
      <c r="J175" s="6">
        <v>57</v>
      </c>
      <c r="K175" s="6">
        <v>204</v>
      </c>
      <c r="L175" s="12">
        <v>1088</v>
      </c>
      <c r="M175" s="12">
        <v>2063</v>
      </c>
      <c r="N175" s="11">
        <v>0.52700000000000002</v>
      </c>
      <c r="O175" s="6">
        <v>59.1</v>
      </c>
      <c r="P175" s="6">
        <v>380</v>
      </c>
      <c r="Q175" s="6">
        <v>9273</v>
      </c>
      <c r="R175" s="1">
        <f t="shared" si="0"/>
        <v>51.884615384615387</v>
      </c>
    </row>
    <row r="176" spans="1:18" ht="17" thickBot="1" x14ac:dyDescent="0.25">
      <c r="A176" s="8">
        <v>2100</v>
      </c>
      <c r="B176" s="8">
        <v>1302</v>
      </c>
      <c r="C176" s="8">
        <v>131</v>
      </c>
      <c r="D176" s="8">
        <v>2620</v>
      </c>
      <c r="E176" s="8">
        <v>1142</v>
      </c>
      <c r="F176" s="8">
        <v>12</v>
      </c>
      <c r="G176" s="8">
        <v>26</v>
      </c>
      <c r="H176" s="8">
        <v>2526</v>
      </c>
      <c r="I176" s="8">
        <v>2324</v>
      </c>
      <c r="J176" s="8">
        <v>51</v>
      </c>
      <c r="K176" s="8">
        <v>202</v>
      </c>
      <c r="L176" s="13">
        <v>1112</v>
      </c>
      <c r="M176" s="13">
        <v>2108</v>
      </c>
      <c r="N176" s="14">
        <v>0.52700000000000002</v>
      </c>
      <c r="O176" s="8">
        <v>60.2</v>
      </c>
      <c r="P176" s="8">
        <v>411</v>
      </c>
      <c r="Q176" s="8">
        <v>9250</v>
      </c>
      <c r="R176" s="1">
        <f t="shared" si="0"/>
        <v>52.099236641221374</v>
      </c>
    </row>
  </sheetData>
  <hyperlinks>
    <hyperlink ref="A2" r:id="rId1" xr:uid="{1A0EC4A6-A753-1F47-AC3A-00FE4B3C7C1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52BC8-AD8F-5C41-BFAC-186496675CA1}">
  <dimension ref="A1:G41"/>
  <sheetViews>
    <sheetView workbookViewId="0">
      <selection activeCell="G6" sqref="G6:G7"/>
    </sheetView>
  </sheetViews>
  <sheetFormatPr baseColWidth="10" defaultRowHeight="16" x14ac:dyDescent="0.2"/>
  <cols>
    <col min="1" max="1" width="3.33203125" bestFit="1" customWidth="1"/>
    <col min="2" max="2" width="8.6640625" customWidth="1"/>
    <col min="3" max="3" width="44.5" bestFit="1" customWidth="1"/>
    <col min="4" max="4" width="22.83203125" bestFit="1" customWidth="1"/>
    <col min="5" max="5" width="58.33203125" bestFit="1" customWidth="1"/>
  </cols>
  <sheetData>
    <row r="1" spans="1:7" ht="20" x14ac:dyDescent="0.2">
      <c r="B1" s="25"/>
    </row>
    <row r="2" spans="1:7" ht="17" thickBot="1" x14ac:dyDescent="0.25"/>
    <row r="3" spans="1:7" ht="17" thickBot="1" x14ac:dyDescent="0.25">
      <c r="A3" s="19" t="s">
        <v>17</v>
      </c>
      <c r="B3" s="15" t="s">
        <v>41</v>
      </c>
      <c r="C3" s="15" t="s">
        <v>42</v>
      </c>
      <c r="D3" s="15" t="s">
        <v>9</v>
      </c>
      <c r="E3" s="15" t="s">
        <v>43</v>
      </c>
    </row>
    <row r="4" spans="1:7" ht="26" x14ac:dyDescent="0.2">
      <c r="A4" s="31">
        <v>1</v>
      </c>
      <c r="B4" s="31" t="s">
        <v>19</v>
      </c>
      <c r="C4" s="31" t="s">
        <v>44</v>
      </c>
      <c r="D4" s="31" t="s">
        <v>45</v>
      </c>
      <c r="E4" s="16" t="s">
        <v>46</v>
      </c>
    </row>
    <row r="5" spans="1:7" ht="20" x14ac:dyDescent="0.2">
      <c r="A5" s="32"/>
      <c r="B5" s="32"/>
      <c r="C5" s="32"/>
      <c r="D5" s="32"/>
      <c r="E5" s="16" t="s">
        <v>47</v>
      </c>
      <c r="G5" s="26"/>
    </row>
    <row r="6" spans="1:7" x14ac:dyDescent="0.2">
      <c r="A6" s="32"/>
      <c r="B6" s="32"/>
      <c r="C6" s="32"/>
      <c r="D6" s="32"/>
      <c r="E6" s="16" t="s">
        <v>48</v>
      </c>
    </row>
    <row r="7" spans="1:7" x14ac:dyDescent="0.2">
      <c r="A7" s="32"/>
      <c r="B7" s="32"/>
      <c r="C7" s="32"/>
      <c r="D7" s="32"/>
      <c r="E7" s="16" t="s">
        <v>49</v>
      </c>
    </row>
    <row r="8" spans="1:7" x14ac:dyDescent="0.2">
      <c r="A8" s="32"/>
      <c r="B8" s="32"/>
      <c r="C8" s="32"/>
      <c r="D8" s="32"/>
      <c r="E8" s="16" t="s">
        <v>50</v>
      </c>
    </row>
    <row r="9" spans="1:7" x14ac:dyDescent="0.2">
      <c r="A9" s="32"/>
      <c r="B9" s="32"/>
      <c r="C9" s="32"/>
      <c r="D9" s="32"/>
      <c r="E9" s="16" t="s">
        <v>51</v>
      </c>
    </row>
    <row r="10" spans="1:7" x14ac:dyDescent="0.2">
      <c r="A10" s="32"/>
      <c r="B10" s="32"/>
      <c r="C10" s="32"/>
      <c r="D10" s="32"/>
      <c r="E10" s="16" t="s">
        <v>52</v>
      </c>
    </row>
    <row r="11" spans="1:7" x14ac:dyDescent="0.2">
      <c r="A11" s="32"/>
      <c r="B11" s="32"/>
      <c r="C11" s="32"/>
      <c r="D11" s="32"/>
      <c r="E11" s="16" t="s">
        <v>53</v>
      </c>
    </row>
    <row r="12" spans="1:7" x14ac:dyDescent="0.2">
      <c r="A12" s="32"/>
      <c r="B12" s="32"/>
      <c r="C12" s="32"/>
      <c r="D12" s="32"/>
      <c r="E12" s="16"/>
    </row>
    <row r="13" spans="1:7" ht="53" thickBot="1" x14ac:dyDescent="0.25">
      <c r="A13" s="33"/>
      <c r="B13" s="33"/>
      <c r="C13" s="33"/>
      <c r="D13" s="33"/>
      <c r="E13" s="17" t="s">
        <v>54</v>
      </c>
    </row>
    <row r="14" spans="1:7" ht="17" thickBot="1" x14ac:dyDescent="0.25">
      <c r="A14" s="20">
        <v>2</v>
      </c>
      <c r="B14" s="20" t="s">
        <v>20</v>
      </c>
      <c r="C14" s="20" t="s">
        <v>55</v>
      </c>
      <c r="D14" s="20" t="s">
        <v>45</v>
      </c>
      <c r="E14" s="17" t="s">
        <v>56</v>
      </c>
    </row>
    <row r="15" spans="1:7" ht="26" x14ac:dyDescent="0.2">
      <c r="A15" s="31">
        <v>3</v>
      </c>
      <c r="B15" s="31" t="s">
        <v>21</v>
      </c>
      <c r="C15" s="31" t="s">
        <v>57</v>
      </c>
      <c r="D15" s="31" t="s">
        <v>45</v>
      </c>
      <c r="E15" s="16" t="s">
        <v>46</v>
      </c>
    </row>
    <row r="16" spans="1:7" x14ac:dyDescent="0.2">
      <c r="A16" s="32"/>
      <c r="B16" s="32"/>
      <c r="C16" s="32"/>
      <c r="D16" s="32"/>
      <c r="E16" s="16" t="s">
        <v>47</v>
      </c>
    </row>
    <row r="17" spans="1:5" x14ac:dyDescent="0.2">
      <c r="A17" s="32"/>
      <c r="B17" s="32"/>
      <c r="C17" s="32"/>
      <c r="D17" s="32"/>
      <c r="E17" s="16" t="s">
        <v>58</v>
      </c>
    </row>
    <row r="18" spans="1:5" x14ac:dyDescent="0.2">
      <c r="A18" s="32"/>
      <c r="B18" s="32"/>
      <c r="C18" s="32"/>
      <c r="D18" s="32"/>
      <c r="E18" s="16" t="s">
        <v>59</v>
      </c>
    </row>
    <row r="19" spans="1:5" x14ac:dyDescent="0.2">
      <c r="A19" s="32"/>
      <c r="B19" s="32"/>
      <c r="C19" s="32"/>
      <c r="D19" s="32"/>
      <c r="E19" s="16" t="s">
        <v>60</v>
      </c>
    </row>
    <row r="20" spans="1:5" x14ac:dyDescent="0.2">
      <c r="A20" s="32"/>
      <c r="B20" s="32"/>
      <c r="C20" s="32"/>
      <c r="D20" s="32"/>
      <c r="E20" s="16" t="s">
        <v>52</v>
      </c>
    </row>
    <row r="21" spans="1:5" x14ac:dyDescent="0.2">
      <c r="A21" s="32"/>
      <c r="B21" s="32"/>
      <c r="C21" s="32"/>
      <c r="D21" s="32"/>
      <c r="E21" s="16" t="s">
        <v>53</v>
      </c>
    </row>
    <row r="22" spans="1:5" ht="17" thickBot="1" x14ac:dyDescent="0.25">
      <c r="A22" s="33"/>
      <c r="B22" s="33"/>
      <c r="C22" s="33"/>
      <c r="D22" s="33"/>
      <c r="E22" s="17" t="s">
        <v>61</v>
      </c>
    </row>
    <row r="23" spans="1:5" ht="17" thickBot="1" x14ac:dyDescent="0.25">
      <c r="A23" s="20">
        <v>4</v>
      </c>
      <c r="B23" s="20" t="s">
        <v>22</v>
      </c>
      <c r="C23" s="20" t="s">
        <v>62</v>
      </c>
      <c r="D23" s="20" t="s">
        <v>45</v>
      </c>
      <c r="E23" s="17" t="s">
        <v>63</v>
      </c>
    </row>
    <row r="24" spans="1:5" ht="27" thickBot="1" x14ac:dyDescent="0.25">
      <c r="A24" s="20">
        <v>5</v>
      </c>
      <c r="B24" s="20" t="s">
        <v>23</v>
      </c>
      <c r="C24" s="20" t="s">
        <v>64</v>
      </c>
      <c r="D24" s="21" t="s">
        <v>65</v>
      </c>
      <c r="E24" s="17" t="s">
        <v>66</v>
      </c>
    </row>
    <row r="25" spans="1:5" ht="27" thickBot="1" x14ac:dyDescent="0.25">
      <c r="A25" s="20">
        <v>6</v>
      </c>
      <c r="B25" s="20" t="s">
        <v>24</v>
      </c>
      <c r="C25" s="20" t="s">
        <v>67</v>
      </c>
      <c r="D25" s="20" t="s">
        <v>65</v>
      </c>
      <c r="E25" s="17" t="s">
        <v>68</v>
      </c>
    </row>
    <row r="26" spans="1:5" ht="39" x14ac:dyDescent="0.2">
      <c r="A26" s="31">
        <v>7</v>
      </c>
      <c r="B26" s="31" t="s">
        <v>25</v>
      </c>
      <c r="C26" s="31" t="s">
        <v>69</v>
      </c>
      <c r="D26" s="31" t="s">
        <v>65</v>
      </c>
      <c r="E26" s="16" t="s">
        <v>70</v>
      </c>
    </row>
    <row r="27" spans="1:5" ht="17" thickBot="1" x14ac:dyDescent="0.25">
      <c r="A27" s="33"/>
      <c r="B27" s="33"/>
      <c r="C27" s="33"/>
      <c r="D27" s="33"/>
      <c r="E27" s="17" t="s">
        <v>71</v>
      </c>
    </row>
    <row r="28" spans="1:5" ht="27" thickBot="1" x14ac:dyDescent="0.25">
      <c r="A28" s="20">
        <v>8</v>
      </c>
      <c r="B28" s="20" t="s">
        <v>26</v>
      </c>
      <c r="C28" s="20" t="s">
        <v>72</v>
      </c>
      <c r="D28" s="20" t="s">
        <v>65</v>
      </c>
      <c r="E28" s="17" t="s">
        <v>73</v>
      </c>
    </row>
    <row r="29" spans="1:5" ht="39" x14ac:dyDescent="0.2">
      <c r="A29" s="31">
        <v>9</v>
      </c>
      <c r="B29" s="31" t="s">
        <v>27</v>
      </c>
      <c r="C29" s="31" t="s">
        <v>74</v>
      </c>
      <c r="D29" s="31" t="s">
        <v>65</v>
      </c>
      <c r="E29" s="16" t="s">
        <v>75</v>
      </c>
    </row>
    <row r="30" spans="1:5" ht="17" thickBot="1" x14ac:dyDescent="0.25">
      <c r="A30" s="33"/>
      <c r="B30" s="33"/>
      <c r="C30" s="33"/>
      <c r="D30" s="33"/>
      <c r="E30" s="17" t="s">
        <v>76</v>
      </c>
    </row>
    <row r="31" spans="1:5" ht="17" thickBot="1" x14ac:dyDescent="0.25">
      <c r="A31" s="20">
        <v>10</v>
      </c>
      <c r="B31" s="20" t="s">
        <v>28</v>
      </c>
      <c r="C31" s="20" t="s">
        <v>77</v>
      </c>
      <c r="D31" s="20" t="s">
        <v>65</v>
      </c>
      <c r="E31" s="17" t="s">
        <v>78</v>
      </c>
    </row>
    <row r="32" spans="1:5" ht="17" thickBot="1" x14ac:dyDescent="0.25">
      <c r="A32" s="20">
        <v>11</v>
      </c>
      <c r="B32" s="20" t="s">
        <v>29</v>
      </c>
      <c r="C32" s="20" t="s">
        <v>79</v>
      </c>
      <c r="D32" s="20" t="s">
        <v>65</v>
      </c>
      <c r="E32" s="17" t="s">
        <v>80</v>
      </c>
    </row>
    <row r="33" spans="1:5" ht="27" thickBot="1" x14ac:dyDescent="0.25">
      <c r="A33" s="20">
        <v>12</v>
      </c>
      <c r="B33" s="20" t="s">
        <v>30</v>
      </c>
      <c r="C33" s="20" t="s">
        <v>81</v>
      </c>
      <c r="D33" s="20" t="s">
        <v>65</v>
      </c>
      <c r="E33" s="17" t="s">
        <v>82</v>
      </c>
    </row>
    <row r="34" spans="1:5" ht="40" thickBot="1" x14ac:dyDescent="0.25">
      <c r="A34" s="20">
        <v>13</v>
      </c>
      <c r="B34" s="20" t="s">
        <v>31</v>
      </c>
      <c r="C34" s="20" t="s">
        <v>83</v>
      </c>
      <c r="D34" s="20" t="s">
        <v>14</v>
      </c>
      <c r="E34" s="17" t="s">
        <v>84</v>
      </c>
    </row>
    <row r="35" spans="1:5" ht="27" thickBot="1" x14ac:dyDescent="0.25">
      <c r="A35" s="20">
        <v>14</v>
      </c>
      <c r="B35" s="20" t="s">
        <v>32</v>
      </c>
      <c r="C35" s="20" t="s">
        <v>85</v>
      </c>
      <c r="D35" s="20" t="s">
        <v>86</v>
      </c>
      <c r="E35" s="17" t="s">
        <v>87</v>
      </c>
    </row>
    <row r="36" spans="1:5" x14ac:dyDescent="0.2">
      <c r="A36" s="31">
        <v>15</v>
      </c>
      <c r="B36" s="31" t="s">
        <v>33</v>
      </c>
      <c r="C36" s="31" t="s">
        <v>88</v>
      </c>
      <c r="D36" s="31" t="s">
        <v>89</v>
      </c>
      <c r="E36" s="16" t="s">
        <v>90</v>
      </c>
    </row>
    <row r="37" spans="1:5" x14ac:dyDescent="0.2">
      <c r="A37" s="32"/>
      <c r="B37" s="32"/>
      <c r="C37" s="32"/>
      <c r="D37" s="32"/>
      <c r="E37" s="18" t="s">
        <v>91</v>
      </c>
    </row>
    <row r="38" spans="1:5" ht="27" thickBot="1" x14ac:dyDescent="0.25">
      <c r="A38" s="33"/>
      <c r="B38" s="33"/>
      <c r="C38" s="33"/>
      <c r="D38" s="33"/>
      <c r="E38" s="17" t="s">
        <v>92</v>
      </c>
    </row>
    <row r="39" spans="1:5" x14ac:dyDescent="0.2">
      <c r="A39" s="31">
        <v>16</v>
      </c>
      <c r="B39" s="31" t="s">
        <v>34</v>
      </c>
      <c r="C39" s="31" t="s">
        <v>93</v>
      </c>
      <c r="D39" s="31" t="s">
        <v>94</v>
      </c>
      <c r="E39" s="16" t="s">
        <v>90</v>
      </c>
    </row>
    <row r="40" spans="1:5" x14ac:dyDescent="0.2">
      <c r="A40" s="32"/>
      <c r="B40" s="32"/>
      <c r="C40" s="32"/>
      <c r="D40" s="32"/>
      <c r="E40" s="16" t="s">
        <v>95</v>
      </c>
    </row>
    <row r="41" spans="1:5" ht="27" thickBot="1" x14ac:dyDescent="0.25">
      <c r="A41" s="33"/>
      <c r="B41" s="33"/>
      <c r="C41" s="33"/>
      <c r="D41" s="33"/>
      <c r="E41" s="17" t="s">
        <v>96</v>
      </c>
    </row>
  </sheetData>
  <mergeCells count="24">
    <mergeCell ref="A36:A38"/>
    <mergeCell ref="B36:B38"/>
    <mergeCell ref="C36:C38"/>
    <mergeCell ref="D36:D38"/>
    <mergeCell ref="A39:A41"/>
    <mergeCell ref="B39:B41"/>
    <mergeCell ref="C39:C41"/>
    <mergeCell ref="D39:D41"/>
    <mergeCell ref="A26:A27"/>
    <mergeCell ref="B26:B27"/>
    <mergeCell ref="C26:C27"/>
    <mergeCell ref="D26:D27"/>
    <mergeCell ref="A29:A30"/>
    <mergeCell ref="B29:B30"/>
    <mergeCell ref="C29:C30"/>
    <mergeCell ref="D29:D30"/>
    <mergeCell ref="A4:A13"/>
    <mergeCell ref="B4:B13"/>
    <mergeCell ref="C4:C13"/>
    <mergeCell ref="D4:D13"/>
    <mergeCell ref="A15:A22"/>
    <mergeCell ref="B15:B22"/>
    <mergeCell ref="C15:C22"/>
    <mergeCell ref="D15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scrap_ratio</vt:lpstr>
      <vt:lpstr>EU Scrap</vt:lpstr>
      <vt:lpstr>global_scrap</vt:lpstr>
      <vt:lpstr>global scrap_description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Al Faisal, Mr</dc:creator>
  <cp:lastModifiedBy>Abdullah Al Faisal</cp:lastModifiedBy>
  <dcterms:created xsi:type="dcterms:W3CDTF">2024-12-02T16:59:07Z</dcterms:created>
  <dcterms:modified xsi:type="dcterms:W3CDTF">2025-10-06T04:17:00Z</dcterms:modified>
</cp:coreProperties>
</file>