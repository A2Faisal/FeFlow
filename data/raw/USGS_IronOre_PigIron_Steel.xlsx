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faisal/Documents/iESD/input/iron/raw/"/>
    </mc:Choice>
  </mc:AlternateContent>
  <xr:revisionPtr revIDLastSave="0" documentId="13_ncr:1_{4AD00EB2-7A02-9D4D-9A4E-51CAE0D1BEF8}" xr6:coauthVersionLast="47" xr6:coauthVersionMax="47" xr10:uidLastSave="{00000000-0000-0000-0000-000000000000}"/>
  <bookViews>
    <workbookView xWindow="1920" yWindow="800" windowWidth="23700" windowHeight="15060" activeTab="1" xr2:uid="{70171018-A19D-5748-AC3E-353FF7381873}"/>
  </bookViews>
  <sheets>
    <sheet name="iron_ore" sheetId="27" r:id="rId1"/>
    <sheet name="metal_content" sheetId="26" r:id="rId2"/>
    <sheet name="pig_direct_iron" sheetId="29" r:id="rId3"/>
    <sheet name="raw_steel" sheetId="28" r:id="rId4"/>
    <sheet name="98-02" sheetId="17" r:id="rId5"/>
    <sheet name="03-07" sheetId="3" r:id="rId6"/>
    <sheet name="08-12" sheetId="4" r:id="rId7"/>
    <sheet name="13-17" sheetId="5" r:id="rId8"/>
    <sheet name="17-21" sheetId="6" r:id="rId9"/>
    <sheet name="pig 98-02" sheetId="7" r:id="rId10"/>
    <sheet name="pig 03-07" sheetId="9" r:id="rId11"/>
    <sheet name="pig 08-12" sheetId="11" r:id="rId12"/>
    <sheet name="pig 13-17" sheetId="13" r:id="rId13"/>
    <sheet name="pig 18-22" sheetId="15" r:id="rId14"/>
    <sheet name="st 98-02" sheetId="8" r:id="rId15"/>
    <sheet name="st 03-07" sheetId="10" r:id="rId16"/>
    <sheet name="st 08-12" sheetId="12" r:id="rId17"/>
    <sheet name="st 13-17" sheetId="14" r:id="rId18"/>
    <sheet name="st 18-22" sheetId="16" r:id="rId19"/>
  </sheets>
  <definedNames>
    <definedName name="_xlnm._FilterDatabase" localSheetId="7" hidden="1">'13-17'!$A$6:$N$56</definedName>
    <definedName name="_xlnm.Print_Area" localSheetId="9">'pig 98-02'!$A$1:$L$113</definedName>
    <definedName name="_xlnm.Print_Area" localSheetId="14">'st 98-02'!$A$1:$L$119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 i="15" l="1"/>
  <c r="G79" i="15"/>
  <c r="I79" i="15"/>
  <c r="K79" i="15"/>
  <c r="C79" i="15"/>
  <c r="E68" i="15"/>
  <c r="G68" i="15"/>
  <c r="I68" i="15"/>
  <c r="K68" i="15"/>
  <c r="C68" i="15"/>
  <c r="E62" i="15"/>
  <c r="G62" i="15"/>
  <c r="I62" i="15"/>
  <c r="K62" i="15"/>
  <c r="C62" i="15"/>
  <c r="E51" i="15"/>
  <c r="G51" i="15"/>
  <c r="I51" i="15"/>
  <c r="K51" i="15"/>
  <c r="C51" i="15"/>
  <c r="E41" i="15"/>
  <c r="G41" i="15"/>
  <c r="I41" i="15"/>
  <c r="K41" i="15"/>
  <c r="C41" i="15"/>
  <c r="E38" i="15"/>
  <c r="G38" i="15"/>
  <c r="I38" i="15"/>
  <c r="K38" i="15"/>
  <c r="C38" i="15"/>
  <c r="E35" i="15"/>
  <c r="G35" i="15"/>
  <c r="I35" i="15"/>
  <c r="K35" i="15"/>
  <c r="C35" i="15"/>
  <c r="E31" i="15"/>
  <c r="G31" i="15"/>
  <c r="I31" i="15"/>
  <c r="K31" i="15"/>
  <c r="C31" i="15"/>
  <c r="E26" i="15"/>
  <c r="G26" i="15"/>
  <c r="I26" i="15"/>
  <c r="K26" i="15"/>
  <c r="C26" i="15"/>
  <c r="E19" i="15"/>
  <c r="G19" i="15"/>
  <c r="I19" i="15"/>
  <c r="K19" i="15"/>
  <c r="C19" i="15"/>
  <c r="E10" i="15"/>
  <c r="G10" i="15"/>
  <c r="I10" i="15"/>
  <c r="K10" i="15"/>
  <c r="L10" i="15"/>
  <c r="C10" i="15"/>
  <c r="E7" i="15"/>
  <c r="G7" i="15"/>
  <c r="I7" i="15"/>
  <c r="K7" i="15"/>
  <c r="C7" i="15"/>
  <c r="C84" i="13"/>
  <c r="E84" i="13"/>
  <c r="G84" i="13"/>
  <c r="I84" i="13"/>
  <c r="K84" i="13"/>
  <c r="E73" i="13"/>
  <c r="G73" i="13"/>
  <c r="I73" i="13"/>
  <c r="K73" i="13"/>
  <c r="C73" i="13"/>
  <c r="E60" i="13"/>
  <c r="G60" i="13"/>
  <c r="I60" i="13"/>
  <c r="K60" i="13"/>
  <c r="C60" i="13"/>
  <c r="E47" i="13"/>
  <c r="G47" i="13"/>
  <c r="I47" i="13"/>
  <c r="K47" i="13"/>
  <c r="C47" i="13"/>
  <c r="E37" i="13"/>
  <c r="G37" i="13"/>
  <c r="I37" i="13"/>
  <c r="K37" i="13"/>
  <c r="C37" i="13"/>
  <c r="E33" i="13"/>
  <c r="G33" i="13"/>
  <c r="I33" i="13"/>
  <c r="K33" i="13"/>
  <c r="C33" i="13"/>
  <c r="E29" i="13"/>
  <c r="G29" i="13"/>
  <c r="I29" i="13"/>
  <c r="K29" i="13"/>
  <c r="C29" i="13"/>
  <c r="E24" i="13"/>
  <c r="G24" i="13"/>
  <c r="I24" i="13"/>
  <c r="K24" i="13"/>
  <c r="C24" i="13"/>
  <c r="E17" i="13"/>
  <c r="G17" i="13"/>
  <c r="I17" i="13"/>
  <c r="K17" i="13"/>
  <c r="C17" i="13"/>
  <c r="E8" i="13"/>
  <c r="G8" i="13"/>
  <c r="I8" i="13"/>
  <c r="K8" i="13"/>
  <c r="C8" i="13"/>
  <c r="C92" i="11"/>
  <c r="E82" i="11"/>
  <c r="G82" i="11"/>
  <c r="I82" i="11"/>
  <c r="K82" i="11"/>
  <c r="C82" i="11"/>
  <c r="E76" i="11"/>
  <c r="G76" i="11"/>
  <c r="I76" i="11"/>
  <c r="K76" i="11"/>
  <c r="C76" i="11"/>
  <c r="E50" i="11"/>
  <c r="G50" i="11"/>
  <c r="I50" i="11"/>
  <c r="K50" i="11"/>
  <c r="C50" i="11"/>
  <c r="E40" i="11"/>
  <c r="G40" i="11"/>
  <c r="I40" i="11"/>
  <c r="K40" i="11"/>
  <c r="C40" i="11"/>
  <c r="E36" i="11"/>
  <c r="G36" i="11"/>
  <c r="I36" i="11"/>
  <c r="K36" i="11"/>
  <c r="C36" i="11"/>
  <c r="E32" i="11"/>
  <c r="G32" i="11"/>
  <c r="I32" i="11"/>
  <c r="K32" i="11"/>
  <c r="C32" i="11"/>
  <c r="E27" i="11"/>
  <c r="G27" i="11"/>
  <c r="I27" i="11"/>
  <c r="K27" i="11"/>
  <c r="C27" i="11"/>
  <c r="E20" i="11"/>
  <c r="G20" i="11"/>
  <c r="I20" i="11"/>
  <c r="K20" i="11"/>
  <c r="C20" i="11"/>
  <c r="E8" i="11"/>
  <c r="G8" i="11"/>
  <c r="I8" i="11"/>
  <c r="K8" i="11"/>
  <c r="C8" i="11"/>
  <c r="E99" i="9"/>
  <c r="G99" i="9"/>
  <c r="I99" i="9"/>
  <c r="K99" i="9"/>
  <c r="C99" i="9"/>
  <c r="E87" i="9"/>
  <c r="G87" i="9"/>
  <c r="I87" i="9"/>
  <c r="K87" i="9"/>
  <c r="C87" i="9"/>
  <c r="E81" i="9"/>
  <c r="G81" i="9"/>
  <c r="I81" i="9"/>
  <c r="K81" i="9"/>
  <c r="C81" i="9"/>
  <c r="E74" i="9"/>
  <c r="G74" i="9"/>
  <c r="I74" i="9"/>
  <c r="K74" i="9"/>
  <c r="C74" i="9"/>
  <c r="E52" i="9"/>
  <c r="G52" i="9"/>
  <c r="I52" i="9"/>
  <c r="K52" i="9"/>
  <c r="C52" i="9"/>
  <c r="E42" i="9"/>
  <c r="G42" i="9"/>
  <c r="I42" i="9"/>
  <c r="K42" i="9"/>
  <c r="C42" i="9"/>
  <c r="E38" i="9"/>
  <c r="G38" i="9"/>
  <c r="I38" i="9"/>
  <c r="K38" i="9"/>
  <c r="C38" i="9"/>
  <c r="E34" i="9"/>
  <c r="G34" i="9"/>
  <c r="I34" i="9"/>
  <c r="K34" i="9"/>
  <c r="C34" i="9"/>
  <c r="E29" i="9"/>
  <c r="G29" i="9"/>
  <c r="I29" i="9"/>
  <c r="K29" i="9"/>
  <c r="C29" i="9"/>
  <c r="E22" i="9"/>
  <c r="G22" i="9"/>
  <c r="I22" i="9"/>
  <c r="K22" i="9"/>
  <c r="C22" i="9"/>
  <c r="E15" i="9"/>
  <c r="G15" i="9"/>
  <c r="I15" i="9"/>
  <c r="K15" i="9"/>
  <c r="C15" i="9"/>
  <c r="E8" i="9"/>
  <c r="G8" i="9"/>
  <c r="I8" i="9"/>
  <c r="K8" i="9"/>
  <c r="C8" i="9"/>
  <c r="E95" i="7"/>
  <c r="G95" i="7"/>
  <c r="I95" i="7"/>
  <c r="K95" i="7"/>
  <c r="C95" i="7"/>
  <c r="E83" i="7"/>
  <c r="G83" i="7"/>
  <c r="I83" i="7"/>
  <c r="K83" i="7"/>
  <c r="C83" i="7"/>
  <c r="E77" i="7"/>
  <c r="G77" i="7"/>
  <c r="I77" i="7"/>
  <c r="K77" i="7"/>
  <c r="C77" i="7"/>
  <c r="E62" i="7"/>
  <c r="G62" i="7"/>
  <c r="I62" i="7"/>
  <c r="K62" i="7"/>
  <c r="C62" i="7"/>
  <c r="E53" i="7"/>
  <c r="G53" i="7"/>
  <c r="I53" i="7"/>
  <c r="K53" i="7"/>
  <c r="C53" i="7"/>
  <c r="E43" i="7"/>
  <c r="G43" i="7"/>
  <c r="I43" i="7"/>
  <c r="K43" i="7"/>
  <c r="C43" i="7"/>
  <c r="E39" i="7"/>
  <c r="G39" i="7"/>
  <c r="I39" i="7"/>
  <c r="K39" i="7"/>
  <c r="C39" i="7"/>
  <c r="E35" i="7"/>
  <c r="G35" i="7"/>
  <c r="I35" i="7"/>
  <c r="K35" i="7"/>
  <c r="C35" i="7"/>
  <c r="E30" i="7"/>
  <c r="G30" i="7"/>
  <c r="I30" i="7"/>
  <c r="K30" i="7"/>
  <c r="C30" i="7"/>
  <c r="E23" i="7"/>
  <c r="G23" i="7"/>
  <c r="I23" i="7"/>
  <c r="K23" i="7"/>
  <c r="C23" i="7"/>
  <c r="E20" i="7"/>
  <c r="G20" i="7"/>
  <c r="I20" i="7"/>
  <c r="K20" i="7"/>
  <c r="C20" i="7"/>
  <c r="E16" i="7"/>
  <c r="G16" i="7"/>
  <c r="I16" i="7"/>
  <c r="K16" i="7"/>
  <c r="C16" i="7"/>
  <c r="E9" i="7"/>
  <c r="G9" i="7"/>
  <c r="I9" i="7"/>
  <c r="K9" i="7"/>
  <c r="C9" i="7"/>
</calcChain>
</file>

<file path=xl/sharedStrings.xml><?xml version="1.0" encoding="utf-8"?>
<sst xmlns="http://schemas.openxmlformats.org/spreadsheetml/2006/main" count="4199" uniqueCount="671">
  <si>
    <t>(Thousand metric tons)</t>
  </si>
  <si>
    <r>
      <t>Country</t>
    </r>
    <r>
      <rPr>
        <vertAlign val="superscript"/>
        <sz val="8"/>
        <rFont val="Times New Roman"/>
        <family val="1"/>
      </rPr>
      <t>4</t>
    </r>
  </si>
  <si>
    <t>1998</t>
  </si>
  <si>
    <t>1999</t>
  </si>
  <si>
    <t>2000</t>
  </si>
  <si>
    <t>2001</t>
  </si>
  <si>
    <r>
      <t>2002</t>
    </r>
    <r>
      <rPr>
        <vertAlign val="superscript"/>
        <sz val="8"/>
        <rFont val="Times New Roman"/>
        <family val="1"/>
      </rPr>
      <t>e</t>
    </r>
  </si>
  <si>
    <t>Algeria</t>
  </si>
  <si>
    <t>r</t>
  </si>
  <si>
    <t>e</t>
  </si>
  <si>
    <t>Australia</t>
  </si>
  <si>
    <t>Austria</t>
  </si>
  <si>
    <t>--</t>
  </si>
  <si>
    <t>NA</t>
  </si>
  <si>
    <r>
      <t>Bosnia and Herzegovina</t>
    </r>
    <r>
      <rPr>
        <vertAlign val="superscript"/>
        <sz val="8"/>
        <rFont val="Times New Roman"/>
        <family val="1"/>
      </rPr>
      <t>e</t>
    </r>
  </si>
  <si>
    <t>Brazil</t>
  </si>
  <si>
    <t>Bulgaria</t>
  </si>
  <si>
    <t>p</t>
  </si>
  <si>
    <t>Chile</t>
  </si>
  <si>
    <t xml:space="preserve">r </t>
  </si>
  <si>
    <t>Colombia</t>
  </si>
  <si>
    <t>Egypt</t>
  </si>
  <si>
    <t>Germany</t>
  </si>
  <si>
    <t>Guatemala</t>
  </si>
  <si>
    <t>India</t>
  </si>
  <si>
    <t>Indonesia</t>
  </si>
  <si>
    <t>Japan</t>
  </si>
  <si>
    <t>(10)</t>
  </si>
  <si>
    <t>Kazakhstan</t>
  </si>
  <si>
    <t>Kenya</t>
  </si>
  <si>
    <r>
      <t>Korea, North</t>
    </r>
    <r>
      <rPr>
        <vertAlign val="superscript"/>
        <sz val="8"/>
        <rFont val="Times New Roman"/>
        <family val="1"/>
      </rPr>
      <t>e</t>
    </r>
  </si>
  <si>
    <t>Korea, Republic of</t>
  </si>
  <si>
    <t>Malaysia</t>
  </si>
  <si>
    <t>Mauritania</t>
  </si>
  <si>
    <t>Morocco</t>
  </si>
  <si>
    <t>Norway</t>
  </si>
  <si>
    <t>Peru</t>
  </si>
  <si>
    <t>Russia</t>
  </si>
  <si>
    <t>Slovakia</t>
  </si>
  <si>
    <t>Sweden</t>
  </si>
  <si>
    <t>Thailand</t>
  </si>
  <si>
    <t>(11)</t>
  </si>
  <si>
    <t>Tunisia</t>
  </si>
  <si>
    <t xml:space="preserve"> </t>
  </si>
  <si>
    <t xml:space="preserve">r, e </t>
  </si>
  <si>
    <t>Turkey</t>
  </si>
  <si>
    <t>Uganda:</t>
  </si>
  <si>
    <t>Limonite</t>
  </si>
  <si>
    <t>Other</t>
  </si>
  <si>
    <t>Ukraine</t>
  </si>
  <si>
    <t>United Kingdom</t>
  </si>
  <si>
    <t>United States</t>
  </si>
  <si>
    <t>Venezuela</t>
  </si>
  <si>
    <t>Zimbabwe</t>
  </si>
  <si>
    <t>Total</t>
  </si>
  <si>
    <r>
      <t>e</t>
    </r>
    <r>
      <rPr>
        <sz val="8"/>
        <rFont val="Times New Roman"/>
        <family val="1"/>
      </rPr>
      <t xml:space="preserve">Estimated.  </t>
    </r>
    <r>
      <rPr>
        <vertAlign val="superscript"/>
        <sz val="8"/>
        <rFont val="Times New Roman"/>
        <family val="1"/>
      </rPr>
      <t>p</t>
    </r>
    <r>
      <rPr>
        <sz val="8"/>
        <rFont val="Times New Roman"/>
        <family val="1"/>
      </rPr>
      <t xml:space="preserve">Preliminary. </t>
    </r>
    <r>
      <rPr>
        <vertAlign val="superscript"/>
        <sz val="8"/>
        <rFont val="Times New Roman"/>
        <family val="1"/>
      </rPr>
      <t xml:space="preserve"> r</t>
    </r>
    <r>
      <rPr>
        <sz val="8"/>
        <rFont val="Times New Roman"/>
        <family val="1"/>
      </rPr>
      <t>Revised.  NA Not available.  -- Zero.</t>
    </r>
  </si>
  <si>
    <r>
      <t>1</t>
    </r>
    <r>
      <rPr>
        <sz val="8"/>
        <rFont val="Times New Roman"/>
        <family val="1"/>
      </rPr>
      <t>Table includes data available through July 16, 2003.  Revised as of April 12, 2004.</t>
    </r>
  </si>
  <si>
    <r>
      <t>2</t>
    </r>
    <r>
      <rPr>
        <sz val="8"/>
        <rFont val="Times New Roman"/>
        <family val="1"/>
      </rPr>
      <t>Insofar as availability of sources permit, gross weight in this table represent the nonduplicative sum of marketable direct-shipping iron ores and iron ore concentrates; iron agglomerates produced from imported</t>
    </r>
  </si>
  <si>
    <t>iron ores have been excluded under the assumption that the ore from which such materials are produced has been credited as marketable ore in the country where it was mined.</t>
  </si>
  <si>
    <r>
      <t>3</t>
    </r>
    <r>
      <rPr>
        <sz val="8"/>
        <rFont val="Times New Roman"/>
        <family val="1"/>
      </rPr>
      <t>Data represent actual reported weight of contained metal ore are calculated from reported metal content.  Estimated figures are based on latest available iron content reported, except for the following countries for</t>
    </r>
  </si>
  <si>
    <t>which grades are U.S. Geological Survey estimates:  Azerbaijan, Kazakhstan, North Korea, and Ukraine.</t>
  </si>
  <si>
    <r>
      <t>4</t>
    </r>
    <r>
      <rPr>
        <sz val="8"/>
        <rFont val="Times New Roman"/>
        <family val="1"/>
      </rPr>
      <t>In addition to the countries listed, Cuba and Vietnam may also produce iron ore, but definitive information on output levels, if any, is not available.</t>
    </r>
  </si>
  <si>
    <r>
      <t>5</t>
    </r>
    <r>
      <rPr>
        <sz val="8"/>
        <rFont val="Times New Roman"/>
        <family val="1"/>
      </rPr>
      <t>Reported figure.</t>
    </r>
  </si>
  <si>
    <r>
      <t>6</t>
    </r>
    <r>
      <rPr>
        <sz val="8"/>
        <rFont val="Times New Roman"/>
        <family val="1"/>
      </rPr>
      <t>Series represented gross weight and metal content of usable iron ore (including byproduct ore) actually produced, natural weight.</t>
    </r>
  </si>
  <si>
    <r>
      <t>8</t>
    </r>
    <r>
      <rPr>
        <sz val="8"/>
        <rFont val="Times New Roman"/>
        <family val="1"/>
      </rPr>
      <t>China's gross weight iron ore production figures are significantly higher than that of other countries, because China reports crude ore production only with an average Fe content of 73%, whereas other countries</t>
    </r>
  </si>
  <si>
    <t>report production of usable ore.  Source:  Mineral Resources of China, Chinese Institute of Geology and Mineral Resources Information, Iron Ore Section 2, China Building Materials Industrial Press, 1993, p. 99.</t>
  </si>
  <si>
    <r>
      <t>8</t>
    </r>
    <r>
      <rPr>
        <sz val="8"/>
        <rFont val="Times New Roman"/>
        <family val="1"/>
      </rPr>
      <t>Nickeliferous iron ore.</t>
    </r>
  </si>
  <si>
    <r>
      <t>9</t>
    </r>
    <r>
      <rPr>
        <sz val="8"/>
        <rFont val="Times New Roman"/>
        <family val="1"/>
      </rPr>
      <t>Data are for year beginning March 21 of that stated.</t>
    </r>
  </si>
  <si>
    <r>
      <t>10</t>
    </r>
    <r>
      <rPr>
        <sz val="8"/>
        <rFont val="Times New Roman"/>
        <family val="1"/>
      </rPr>
      <t>Less than 1/2 unit.</t>
    </r>
  </si>
  <si>
    <r>
      <t>11</t>
    </r>
    <r>
      <rPr>
        <sz val="8"/>
        <rFont val="Times New Roman"/>
        <family val="1"/>
      </rPr>
      <t>Gross weight calculated from reported iron content based on grade of 60% Fe.</t>
    </r>
  </si>
  <si>
    <r>
      <t>12</t>
    </r>
    <r>
      <rPr>
        <sz val="8"/>
        <rFont val="Times New Roman"/>
        <family val="1"/>
      </rPr>
      <t>Concentrates from titaniferous magnetite beach sands.</t>
    </r>
  </si>
  <si>
    <r>
      <t>13</t>
    </r>
    <r>
      <rPr>
        <sz val="8"/>
        <rFont val="Times New Roman"/>
        <family val="1"/>
      </rPr>
      <t>Includes manganiferous iron ore.</t>
    </r>
  </si>
  <si>
    <r>
      <t>14</t>
    </r>
    <r>
      <rPr>
        <sz val="8"/>
        <rFont val="Times New Roman"/>
        <family val="1"/>
      </rPr>
      <t>Includes magnetite ore as follows, in thousand metric tons:  1998--2,211; 1999--2,200; 2000--2,854; 2001--2,552; and 2002--2,557.</t>
    </r>
  </si>
  <si>
    <r>
      <t>Korea, North</t>
    </r>
    <r>
      <rPr>
        <vertAlign val="superscript"/>
        <sz val="11"/>
        <rFont val="Times New Roman"/>
        <family val="1"/>
      </rPr>
      <t>e</t>
    </r>
  </si>
  <si>
    <t>2003</t>
  </si>
  <si>
    <t>2004</t>
  </si>
  <si>
    <t>2005</t>
  </si>
  <si>
    <t>2006</t>
  </si>
  <si>
    <t>6</t>
  </si>
  <si>
    <t>r, e</t>
  </si>
  <si>
    <t>Azerbaijan</t>
  </si>
  <si>
    <t>Bosnia and Herzegovina</t>
  </si>
  <si>
    <t>p, 6</t>
  </si>
  <si>
    <t>(12)</t>
  </si>
  <si>
    <r>
      <t>Korea, North</t>
    </r>
    <r>
      <rPr>
        <vertAlign val="superscript"/>
        <sz val="8"/>
        <rFont val="Times"/>
        <family val="1"/>
      </rPr>
      <t>e</t>
    </r>
  </si>
  <si>
    <t>Romania</t>
  </si>
  <si>
    <t>Vietnam</t>
  </si>
  <si>
    <t>concentrates; iron agglomerates produced from imported iron ores have been excluded under the assumption that the ore from which such</t>
  </si>
  <si>
    <t>materials are produced has been credited as marketable ore in the country where it was mined.</t>
  </si>
  <si>
    <t>iron content reported, except for the following countries for which grades are U.S. Geological Survey estimates: Azerbaijan, Kazakhstan,</t>
  </si>
  <si>
    <t xml:space="preserve"> North Korea, and Ukraine.</t>
  </si>
  <si>
    <r>
      <t>6</t>
    </r>
    <r>
      <rPr>
        <sz val="8"/>
        <rFont val="Times"/>
        <family val="1"/>
      </rPr>
      <t>Reported figure.</t>
    </r>
  </si>
  <si>
    <t>only with an average iron content of 33%, whereas other countries report production of usable ore.</t>
  </si>
  <si>
    <t>published by Venezuela’s only producer C.V.G. Ferrominera Orinoco CA.</t>
  </si>
  <si>
    <r>
      <t>Country</t>
    </r>
    <r>
      <rPr>
        <vertAlign val="superscript"/>
        <sz val="8"/>
        <rFont val="Times New Roman"/>
        <family val="1"/>
      </rPr>
      <t>5</t>
    </r>
  </si>
  <si>
    <t>2008</t>
  </si>
  <si>
    <t>2009</t>
  </si>
  <si>
    <t>2010</t>
  </si>
  <si>
    <t>2011</t>
  </si>
  <si>
    <r>
      <t>Indonesia</t>
    </r>
    <r>
      <rPr>
        <vertAlign val="superscript"/>
        <sz val="8"/>
        <rFont val="Times New Roman"/>
        <family val="1"/>
      </rPr>
      <t>e</t>
    </r>
  </si>
  <si>
    <t>r, 6</t>
  </si>
  <si>
    <r>
      <t>Kenya</t>
    </r>
    <r>
      <rPr>
        <vertAlign val="superscript"/>
        <sz val="8"/>
        <rFont val="Times New Roman"/>
        <family val="1"/>
      </rPr>
      <t>e</t>
    </r>
  </si>
  <si>
    <t>Mongolia</t>
  </si>
  <si>
    <r>
      <t>Nigeria</t>
    </r>
    <r>
      <rPr>
        <vertAlign val="superscript"/>
        <sz val="8"/>
        <rFont val="Times New Roman"/>
        <family val="1"/>
      </rPr>
      <t>e</t>
    </r>
  </si>
  <si>
    <t>from imported iron ores have been excluded under the assumption that the ore from which such materials are produced has been credited as marketable ore in the country where it was mined.</t>
  </si>
  <si>
    <t>following countries for which grades are U.S. Geological Survey estimates: Azerbaijan, Kazakhstan, North Korea, and Ukraine.</t>
  </si>
  <si>
    <r>
      <t>6</t>
    </r>
    <r>
      <rPr>
        <sz val="8"/>
        <rFont val="Times New Roman"/>
        <family val="1"/>
      </rPr>
      <t>Reported figure.</t>
    </r>
  </si>
  <si>
    <t>whereas other countries report production of usable ore.</t>
  </si>
  <si>
    <r>
      <t>Gross weight</t>
    </r>
    <r>
      <rPr>
        <vertAlign val="superscript"/>
        <sz val="11"/>
        <rFont val="Times New Roman"/>
        <family val="1"/>
      </rPr>
      <t>3</t>
    </r>
  </si>
  <si>
    <r>
      <t>Metal content</t>
    </r>
    <r>
      <rPr>
        <vertAlign val="superscript"/>
        <sz val="11"/>
        <rFont val="Times New Roman"/>
        <family val="1"/>
      </rPr>
      <t>4</t>
    </r>
  </si>
  <si>
    <r>
      <t>Country</t>
    </r>
    <r>
      <rPr>
        <vertAlign val="superscript"/>
        <sz val="11"/>
        <rFont val="Times New Roman"/>
        <family val="1"/>
      </rPr>
      <t>5</t>
    </r>
  </si>
  <si>
    <r>
      <t>2012</t>
    </r>
    <r>
      <rPr>
        <vertAlign val="superscript"/>
        <sz val="11"/>
        <rFont val="Times New Roman"/>
        <family val="1"/>
      </rPr>
      <t>e</t>
    </r>
  </si>
  <si>
    <r>
      <t>Australia</t>
    </r>
    <r>
      <rPr>
        <vertAlign val="superscript"/>
        <sz val="11"/>
        <rFont val="Times New Roman"/>
        <family val="1"/>
      </rPr>
      <t>e</t>
    </r>
  </si>
  <si>
    <r>
      <t>Canada</t>
    </r>
    <r>
      <rPr>
        <vertAlign val="superscript"/>
        <sz val="11"/>
        <rFont val="Times New Roman"/>
        <family val="1"/>
      </rPr>
      <t>7</t>
    </r>
  </si>
  <si>
    <r>
      <t>China</t>
    </r>
    <r>
      <rPr>
        <vertAlign val="superscript"/>
        <sz val="11"/>
        <rFont val="Times New Roman"/>
        <family val="1"/>
      </rPr>
      <t>e, 8</t>
    </r>
  </si>
  <si>
    <r>
      <t>Germany</t>
    </r>
    <r>
      <rPr>
        <vertAlign val="superscript"/>
        <sz val="11"/>
        <rFont val="Times New Roman"/>
        <family val="1"/>
      </rPr>
      <t>9</t>
    </r>
  </si>
  <si>
    <r>
      <t>Greece</t>
    </r>
    <r>
      <rPr>
        <vertAlign val="superscript"/>
        <sz val="11"/>
        <rFont val="Times New Roman"/>
        <family val="1"/>
      </rPr>
      <t>e, 10</t>
    </r>
  </si>
  <si>
    <r>
      <t>India</t>
    </r>
    <r>
      <rPr>
        <vertAlign val="superscript"/>
        <sz val="11"/>
        <rFont val="Times New Roman"/>
        <family val="1"/>
      </rPr>
      <t>12</t>
    </r>
  </si>
  <si>
    <r>
      <t>Indonesia</t>
    </r>
    <r>
      <rPr>
        <vertAlign val="superscript"/>
        <sz val="11"/>
        <rFont val="Times New Roman"/>
        <family val="1"/>
      </rPr>
      <t>e</t>
    </r>
  </si>
  <si>
    <r>
      <t>Iran</t>
    </r>
    <r>
      <rPr>
        <vertAlign val="superscript"/>
        <sz val="11"/>
        <rFont val="Times New Roman"/>
        <family val="1"/>
      </rPr>
      <t>e, 13</t>
    </r>
  </si>
  <si>
    <r>
      <t>Kenya</t>
    </r>
    <r>
      <rPr>
        <vertAlign val="superscript"/>
        <sz val="11"/>
        <rFont val="Times New Roman"/>
        <family val="1"/>
      </rPr>
      <t>e</t>
    </r>
  </si>
  <si>
    <r>
      <t>Mexico</t>
    </r>
    <r>
      <rPr>
        <vertAlign val="superscript"/>
        <sz val="11"/>
        <rFont val="Times New Roman"/>
        <family val="1"/>
      </rPr>
      <t>14</t>
    </r>
  </si>
  <si>
    <r>
      <t>New Zealand</t>
    </r>
    <r>
      <rPr>
        <vertAlign val="superscript"/>
        <sz val="11"/>
        <rFont val="Times New Roman"/>
        <family val="1"/>
      </rPr>
      <t>15</t>
    </r>
  </si>
  <si>
    <r>
      <t>Nigeria</t>
    </r>
    <r>
      <rPr>
        <vertAlign val="superscript"/>
        <sz val="11"/>
        <rFont val="Times New Roman"/>
        <family val="1"/>
      </rPr>
      <t>e</t>
    </r>
  </si>
  <si>
    <r>
      <t>Pakistan</t>
    </r>
    <r>
      <rPr>
        <vertAlign val="superscript"/>
        <sz val="11"/>
        <rFont val="Times New Roman"/>
        <family val="1"/>
      </rPr>
      <t>e, 16</t>
    </r>
  </si>
  <si>
    <r>
      <t>Portugal</t>
    </r>
    <r>
      <rPr>
        <vertAlign val="superscript"/>
        <sz val="11"/>
        <rFont val="Times New Roman"/>
        <family val="1"/>
      </rPr>
      <t>e, 17</t>
    </r>
  </si>
  <si>
    <r>
      <t>South Africa</t>
    </r>
    <r>
      <rPr>
        <vertAlign val="superscript"/>
        <sz val="11"/>
        <rFont val="Times New Roman"/>
        <family val="1"/>
      </rPr>
      <t>18</t>
    </r>
  </si>
  <si>
    <r>
      <t>Venezuela</t>
    </r>
    <r>
      <rPr>
        <vertAlign val="superscript"/>
        <sz val="11"/>
        <rFont val="Times New Roman"/>
        <family val="1"/>
      </rPr>
      <t>e</t>
    </r>
  </si>
  <si>
    <r>
      <t>e</t>
    </r>
    <r>
      <rPr>
        <sz val="11"/>
        <rFont val="Times New Roman"/>
        <family val="1"/>
      </rPr>
      <t xml:space="preserve">Estimated. </t>
    </r>
    <r>
      <rPr>
        <vertAlign val="superscript"/>
        <sz val="11"/>
        <rFont val="Times New Roman"/>
        <family val="1"/>
      </rPr>
      <t>p</t>
    </r>
    <r>
      <rPr>
        <sz val="11"/>
        <rFont val="Times New Roman"/>
        <family val="1"/>
      </rPr>
      <t xml:space="preserve">Preliminary. </t>
    </r>
    <r>
      <rPr>
        <vertAlign val="superscript"/>
        <sz val="11"/>
        <rFont val="Times New Roman"/>
        <family val="1"/>
      </rPr>
      <t>r</t>
    </r>
    <r>
      <rPr>
        <sz val="11"/>
        <rFont val="Times New Roman"/>
        <family val="1"/>
      </rPr>
      <t>Revised. -- Zero.</t>
    </r>
  </si>
  <si>
    <r>
      <t>1</t>
    </r>
    <r>
      <rPr>
        <sz val="11"/>
        <rFont val="Times New Roman"/>
        <family val="1"/>
      </rPr>
      <t>Estimated data and world totals are rounded to no more than three significant digits; may not add to totals shown.</t>
    </r>
  </si>
  <si>
    <r>
      <t>2</t>
    </r>
    <r>
      <rPr>
        <sz val="11"/>
        <rFont val="Times New Roman"/>
        <family val="1"/>
      </rPr>
      <t>Table includes data available through July 21, 2014.</t>
    </r>
  </si>
  <si>
    <r>
      <t>3</t>
    </r>
    <r>
      <rPr>
        <sz val="11"/>
        <rFont val="Times New Roman"/>
        <family val="1"/>
      </rPr>
      <t>Insofar as availability of sources permit, gross weight represents the nonduplicative sum of marketable direct-shipping ores and concentrates; iron agglomerates produced</t>
    </r>
  </si>
  <si>
    <r>
      <t>4</t>
    </r>
    <r>
      <rPr>
        <sz val="11"/>
        <rFont val="Times New Roman"/>
        <family val="1"/>
      </rPr>
      <t>Data represent actual reported weight of contained metal or are calculated from reported metal content. Estimated figures are based on latest available iron content reported, except for the</t>
    </r>
  </si>
  <si>
    <r>
      <t>5</t>
    </r>
    <r>
      <rPr>
        <sz val="11"/>
        <rFont val="Times New Roman"/>
        <family val="1"/>
      </rPr>
      <t>In addition to the countries listed, Uganda may also produce iron ore, but definitive information on output levels, if any, is not available.</t>
    </r>
  </si>
  <si>
    <r>
      <t>6</t>
    </r>
    <r>
      <rPr>
        <sz val="11"/>
        <rFont val="Times New Roman"/>
        <family val="1"/>
      </rPr>
      <t>Reported figure.</t>
    </r>
  </si>
  <si>
    <r>
      <t>7</t>
    </r>
    <r>
      <rPr>
        <sz val="11"/>
        <rFont val="Times New Roman"/>
        <family val="1"/>
      </rPr>
      <t>Series represented gross weight and metal content of usable iron ore (including byproduct ore) actually produced, natural weight.</t>
    </r>
  </si>
  <si>
    <r>
      <t>8</t>
    </r>
    <r>
      <rPr>
        <sz val="11"/>
        <rFont val="Times New Roman"/>
        <family val="1"/>
      </rPr>
      <t>Chinaʼs gross weight iron ore production figures are significantly higher than those of other countries, because China reports only crude ore production, with an average iron content of 33%,</t>
    </r>
  </si>
  <si>
    <r>
      <t>9</t>
    </r>
    <r>
      <rPr>
        <sz val="11"/>
        <rFont val="Times New Roman"/>
        <family val="1"/>
      </rPr>
      <t>Iron ore is used domestically as an additive in cement and other construction materials but is of too low a grade to use in the steel industry.</t>
    </r>
  </si>
  <si>
    <r>
      <t>10</t>
    </r>
    <r>
      <rPr>
        <sz val="11"/>
        <rFont val="Times New Roman"/>
        <family val="1"/>
      </rPr>
      <t>Nickeliferous iron ore.</t>
    </r>
  </si>
  <si>
    <r>
      <t>11</t>
    </r>
    <r>
      <rPr>
        <sz val="11"/>
        <rFont val="Times New Roman"/>
        <family val="1"/>
      </rPr>
      <t>Less than ½ unit.</t>
    </r>
  </si>
  <si>
    <r>
      <t>12</t>
    </r>
    <r>
      <rPr>
        <sz val="11"/>
        <rFont val="Times New Roman"/>
        <family val="1"/>
      </rPr>
      <t>Indiaʼs iron ore production is based on fiscal years ending March 31 of that stated.</t>
    </r>
  </si>
  <si>
    <r>
      <t>13</t>
    </r>
    <r>
      <rPr>
        <sz val="11"/>
        <rFont val="Times New Roman"/>
        <family val="1"/>
      </rPr>
      <t>Data are for year beginning March 21 of that stated.</t>
    </r>
  </si>
  <si>
    <r>
      <t>14</t>
    </r>
    <r>
      <rPr>
        <sz val="11"/>
        <rFont val="Times New Roman"/>
        <family val="1"/>
      </rPr>
      <t>Gross weight calculated from reported iron content based on grade of 60% iron.</t>
    </r>
  </si>
  <si>
    <r>
      <t>15</t>
    </r>
    <r>
      <rPr>
        <sz val="11"/>
        <rFont val="Times New Roman"/>
        <family val="1"/>
      </rPr>
      <t>Concentrates from titaniferous magnetite beach sands.</t>
    </r>
  </si>
  <si>
    <r>
      <t>16</t>
    </r>
    <r>
      <rPr>
        <sz val="11"/>
        <rFont val="Times New Roman"/>
        <family val="1"/>
      </rPr>
      <t>Pakistanʼs iron ore production is based on fiscal years ending June 30 of that stated.</t>
    </r>
  </si>
  <si>
    <r>
      <t>17</t>
    </r>
    <r>
      <rPr>
        <sz val="11"/>
        <rFont val="Times New Roman"/>
        <family val="1"/>
      </rPr>
      <t>Includes manganiferous iron ore.</t>
    </r>
  </si>
  <si>
    <r>
      <t>18</t>
    </r>
    <r>
      <rPr>
        <sz val="11"/>
        <rFont val="Times New Roman"/>
        <family val="1"/>
      </rPr>
      <t>Includes magnetite ore as follows, in thousand metric tons: 2008—3,987; 2009—4,725; 2010—5,474; 2011—5,494 (revised); and 2012—7,400.</t>
    </r>
  </si>
  <si>
    <r>
      <t>Gross weight</t>
    </r>
    <r>
      <rPr>
        <vertAlign val="superscript"/>
        <sz val="11"/>
        <rFont val="Times"/>
        <family val="1"/>
      </rPr>
      <t>3</t>
    </r>
  </si>
  <si>
    <r>
      <t>Metal content</t>
    </r>
    <r>
      <rPr>
        <vertAlign val="superscript"/>
        <sz val="11"/>
        <rFont val="Times"/>
        <family val="1"/>
      </rPr>
      <t>4</t>
    </r>
  </si>
  <si>
    <r>
      <t>Country</t>
    </r>
    <r>
      <rPr>
        <vertAlign val="superscript"/>
        <sz val="11"/>
        <rFont val="Times"/>
        <family val="1"/>
      </rPr>
      <t>5</t>
    </r>
  </si>
  <si>
    <r>
      <t>2007</t>
    </r>
    <r>
      <rPr>
        <vertAlign val="superscript"/>
        <sz val="11"/>
        <rFont val="Times"/>
        <family val="1"/>
      </rPr>
      <t>e</t>
    </r>
  </si>
  <si>
    <r>
      <t>Austria</t>
    </r>
    <r>
      <rPr>
        <vertAlign val="superscript"/>
        <sz val="11"/>
        <rFont val="Times"/>
        <family val="1"/>
      </rPr>
      <t>e</t>
    </r>
  </si>
  <si>
    <r>
      <t>Canada</t>
    </r>
    <r>
      <rPr>
        <vertAlign val="superscript"/>
        <sz val="11"/>
        <rFont val="Times"/>
        <family val="1"/>
      </rPr>
      <t>7</t>
    </r>
  </si>
  <si>
    <r>
      <t>China</t>
    </r>
    <r>
      <rPr>
        <vertAlign val="superscript"/>
        <sz val="11"/>
        <rFont val="Times"/>
        <family val="1"/>
      </rPr>
      <t>e, 8</t>
    </r>
  </si>
  <si>
    <r>
      <t>Egypt</t>
    </r>
    <r>
      <rPr>
        <vertAlign val="superscript"/>
        <sz val="11"/>
        <rFont val="Times"/>
        <family val="1"/>
      </rPr>
      <t>e</t>
    </r>
  </si>
  <si>
    <r>
      <t>Germany</t>
    </r>
    <r>
      <rPr>
        <vertAlign val="superscript"/>
        <sz val="11"/>
        <rFont val="Times"/>
        <family val="1"/>
      </rPr>
      <t>9</t>
    </r>
  </si>
  <si>
    <r>
      <t>Greece</t>
    </r>
    <r>
      <rPr>
        <vertAlign val="superscript"/>
        <sz val="11"/>
        <rFont val="Times"/>
        <family val="1"/>
      </rPr>
      <t>e, 10</t>
    </r>
  </si>
  <si>
    <r>
      <t>Iran</t>
    </r>
    <r>
      <rPr>
        <vertAlign val="superscript"/>
        <sz val="11"/>
        <rFont val="Times"/>
        <family val="1"/>
      </rPr>
      <t>11</t>
    </r>
  </si>
  <si>
    <r>
      <t>Korea, North</t>
    </r>
    <r>
      <rPr>
        <vertAlign val="superscript"/>
        <sz val="11"/>
        <rFont val="Times"/>
        <family val="1"/>
      </rPr>
      <t>e</t>
    </r>
  </si>
  <si>
    <r>
      <t>Macedonia</t>
    </r>
    <r>
      <rPr>
        <vertAlign val="superscript"/>
        <sz val="11"/>
        <rFont val="Times"/>
        <family val="1"/>
      </rPr>
      <t>e</t>
    </r>
  </si>
  <si>
    <r>
      <t>Mexico</t>
    </r>
    <r>
      <rPr>
        <vertAlign val="superscript"/>
        <sz val="11"/>
        <rFont val="Times"/>
        <family val="1"/>
      </rPr>
      <t>13</t>
    </r>
  </si>
  <si>
    <r>
      <t>Morocco</t>
    </r>
    <r>
      <rPr>
        <vertAlign val="superscript"/>
        <sz val="11"/>
        <rFont val="Times"/>
        <family val="1"/>
      </rPr>
      <t>e</t>
    </r>
  </si>
  <si>
    <r>
      <t>New Zealand</t>
    </r>
    <r>
      <rPr>
        <vertAlign val="superscript"/>
        <sz val="11"/>
        <rFont val="Times"/>
        <family val="1"/>
      </rPr>
      <t>14</t>
    </r>
  </si>
  <si>
    <r>
      <t>Nigeria</t>
    </r>
    <r>
      <rPr>
        <vertAlign val="superscript"/>
        <sz val="11"/>
        <rFont val="Times"/>
        <family val="1"/>
      </rPr>
      <t>e</t>
    </r>
  </si>
  <si>
    <r>
      <t>Pakistan</t>
    </r>
    <r>
      <rPr>
        <vertAlign val="superscript"/>
        <sz val="11"/>
        <rFont val="Times"/>
        <family val="1"/>
      </rPr>
      <t>15</t>
    </r>
  </si>
  <si>
    <r>
      <t>Portugal</t>
    </r>
    <r>
      <rPr>
        <vertAlign val="superscript"/>
        <sz val="11"/>
        <rFont val="Times"/>
        <family val="1"/>
      </rPr>
      <t>e, 16</t>
    </r>
  </si>
  <si>
    <r>
      <t>South Africa</t>
    </r>
    <r>
      <rPr>
        <vertAlign val="superscript"/>
        <sz val="11"/>
        <rFont val="Times"/>
        <family val="1"/>
      </rPr>
      <t>17</t>
    </r>
  </si>
  <si>
    <r>
      <t>Sweden</t>
    </r>
    <r>
      <rPr>
        <vertAlign val="superscript"/>
        <sz val="11"/>
        <rFont val="Times"/>
        <family val="1"/>
      </rPr>
      <t>e</t>
    </r>
  </si>
  <si>
    <r>
      <t>United Kingdom</t>
    </r>
    <r>
      <rPr>
        <vertAlign val="superscript"/>
        <sz val="11"/>
        <rFont val="Times"/>
        <family val="1"/>
      </rPr>
      <t>e</t>
    </r>
  </si>
  <si>
    <r>
      <t>Venezuela</t>
    </r>
    <r>
      <rPr>
        <vertAlign val="superscript"/>
        <sz val="11"/>
        <rFont val="Times"/>
        <family val="1"/>
      </rPr>
      <t>18</t>
    </r>
  </si>
  <si>
    <r>
      <t>Zimbabwe</t>
    </r>
    <r>
      <rPr>
        <vertAlign val="superscript"/>
        <sz val="11"/>
        <rFont val="Times"/>
        <family val="1"/>
      </rPr>
      <t>e</t>
    </r>
  </si>
  <si>
    <r>
      <t>e</t>
    </r>
    <r>
      <rPr>
        <sz val="11"/>
        <rFont val="Times"/>
        <family val="1"/>
      </rPr>
      <t xml:space="preserve">Estimated. </t>
    </r>
    <r>
      <rPr>
        <vertAlign val="superscript"/>
        <sz val="11"/>
        <rFont val="Times"/>
        <family val="1"/>
      </rPr>
      <t>p</t>
    </r>
    <r>
      <rPr>
        <sz val="11"/>
        <rFont val="Times"/>
        <family val="1"/>
      </rPr>
      <t xml:space="preserve">Preliminary. </t>
    </r>
    <r>
      <rPr>
        <vertAlign val="superscript"/>
        <sz val="11"/>
        <rFont val="Times"/>
        <family val="1"/>
      </rPr>
      <t>r</t>
    </r>
    <r>
      <rPr>
        <sz val="11"/>
        <rFont val="Times"/>
        <family val="1"/>
      </rPr>
      <t>Revised. -- Zero.</t>
    </r>
  </si>
  <si>
    <r>
      <t>1</t>
    </r>
    <r>
      <rPr>
        <sz val="11"/>
        <rFont val="Times"/>
        <family val="1"/>
      </rPr>
      <t>Estimated data and world totals are rounded to no more than three significant digits; may not add to totals shown.</t>
    </r>
  </si>
  <si>
    <r>
      <t>2</t>
    </r>
    <r>
      <rPr>
        <sz val="11"/>
        <rFont val="Times"/>
        <family val="1"/>
      </rPr>
      <t>Table includes data available through July 11, 2008.</t>
    </r>
  </si>
  <si>
    <r>
      <t>3</t>
    </r>
    <r>
      <rPr>
        <sz val="11"/>
        <rFont val="Times"/>
        <family val="1"/>
      </rPr>
      <t xml:space="preserve">Insofar as availability of sources permit, gross weight in this table represent the nonduplicative sum of marketable direct-shipping iron ores and </t>
    </r>
  </si>
  <si>
    <r>
      <t>4</t>
    </r>
    <r>
      <rPr>
        <sz val="11"/>
        <rFont val="Times"/>
        <family val="1"/>
      </rPr>
      <t xml:space="preserve">Data represent actual reported weight of contained metal or are calculated from reported metal content. Estimated figures are based on latest available </t>
    </r>
  </si>
  <si>
    <r>
      <t>5</t>
    </r>
    <r>
      <rPr>
        <sz val="11"/>
        <rFont val="Times"/>
        <family val="1"/>
      </rPr>
      <t>In addition to the countries listed, Cuba may also produce iron ore, but definitive information on output levels, if any, is not available.</t>
    </r>
  </si>
  <si>
    <r>
      <t>6</t>
    </r>
    <r>
      <rPr>
        <sz val="11"/>
        <rFont val="Times"/>
        <family val="1"/>
      </rPr>
      <t>Reported figure.</t>
    </r>
  </si>
  <si>
    <r>
      <t>7</t>
    </r>
    <r>
      <rPr>
        <sz val="11"/>
        <rFont val="Times"/>
        <family val="1"/>
      </rPr>
      <t>Series represented gross weight and metal content of usable iron ore (including byproduct ore) actually produced, natural weight.</t>
    </r>
  </si>
  <si>
    <r>
      <t>8</t>
    </r>
    <r>
      <rPr>
        <sz val="11"/>
        <rFont val="Times"/>
        <family val="1"/>
      </rPr>
      <t xml:space="preserve">China’s gross weight iron ore production figures are significantly higher than that of other countries, because China reports crude ore production </t>
    </r>
  </si>
  <si>
    <r>
      <t>9</t>
    </r>
    <r>
      <rPr>
        <sz val="11"/>
        <rFont val="Times"/>
        <family val="1"/>
      </rPr>
      <t>Iron ore is used domestically as an additive in cement and other construction materials but is of too low a grade to use in the steel industry.</t>
    </r>
  </si>
  <si>
    <r>
      <t>10</t>
    </r>
    <r>
      <rPr>
        <sz val="11"/>
        <rFont val="Times"/>
        <family val="1"/>
      </rPr>
      <t>Nickeliferous iron ore.</t>
    </r>
  </si>
  <si>
    <r>
      <t>11</t>
    </r>
    <r>
      <rPr>
        <sz val="11"/>
        <rFont val="Times"/>
        <family val="1"/>
      </rPr>
      <t>Data are for year beginning March 21 of that stated.</t>
    </r>
  </si>
  <si>
    <r>
      <t>12</t>
    </r>
    <r>
      <rPr>
        <sz val="11"/>
        <rFont val="Times"/>
        <family val="1"/>
      </rPr>
      <t>Less than ½ unit.</t>
    </r>
  </si>
  <si>
    <r>
      <t>13</t>
    </r>
    <r>
      <rPr>
        <sz val="11"/>
        <rFont val="Times"/>
        <family val="1"/>
      </rPr>
      <t>Gross weight calculated from reported iron content based on grade of 60% iron.</t>
    </r>
  </si>
  <si>
    <r>
      <t>14</t>
    </r>
    <r>
      <rPr>
        <sz val="11"/>
        <rFont val="Times"/>
        <family val="1"/>
      </rPr>
      <t>Concentrates from titaniferous magnetite beach sands.</t>
    </r>
  </si>
  <si>
    <r>
      <t>15</t>
    </r>
    <r>
      <rPr>
        <sz val="11"/>
        <rFont val="Times"/>
        <family val="1"/>
      </rPr>
      <t>Pakistan iron ore is based on a July-to-July fiscal year and 50% of production is used from each reported year.</t>
    </r>
  </si>
  <si>
    <r>
      <t>16</t>
    </r>
    <r>
      <rPr>
        <sz val="11"/>
        <rFont val="Times"/>
        <family val="1"/>
      </rPr>
      <t>Includes manganiferous iron ore.</t>
    </r>
  </si>
  <si>
    <r>
      <t>17</t>
    </r>
    <r>
      <rPr>
        <sz val="11"/>
        <rFont val="Times"/>
        <family val="1"/>
      </rPr>
      <t>Includes magnetite ore as follows, in thousand metric tons: 2003—2,307; 2004—2,893; 2005—2,957; 2006—3,830; and 2007—3,781.</t>
    </r>
  </si>
  <si>
    <r>
      <t>18</t>
    </r>
    <r>
      <rPr>
        <sz val="11"/>
        <rFont val="Times"/>
        <family val="1"/>
      </rPr>
      <t xml:space="preserve">Official data reported by the Ministerio de la Industria Básica y Minería (formerly Ministerio de Energía y Minas) may differ from those </t>
    </r>
  </si>
  <si>
    <t>TABLE 9</t>
  </si>
  <si>
    <r>
      <t>IRON ORE: WORLD PRODUCTION, BY COUNTRY OR LOCALITY</t>
    </r>
    <r>
      <rPr>
        <vertAlign val="superscript"/>
        <sz val="8"/>
        <rFont val="Times New Roman"/>
        <family val="1"/>
      </rPr>
      <t>1</t>
    </r>
  </si>
  <si>
    <t>Country or locality</t>
  </si>
  <si>
    <t>Algeria:</t>
  </si>
  <si>
    <t>Gross weight</t>
  </si>
  <si>
    <t>Fe content</t>
  </si>
  <si>
    <t>Brazil:</t>
  </si>
  <si>
    <t>Canada:</t>
  </si>
  <si>
    <t>Egypt:</t>
  </si>
  <si>
    <t>Germany:</t>
  </si>
  <si>
    <t>India:</t>
  </si>
  <si>
    <t>Indonesia:</t>
  </si>
  <si>
    <t>Iran:</t>
  </si>
  <si>
    <t>See footnotes at end of table.</t>
  </si>
  <si>
    <t>TABLE 9—Continued</t>
  </si>
  <si>
    <t>Mexico:</t>
  </si>
  <si>
    <t>(4)</t>
  </si>
  <si>
    <t>Peru:</t>
  </si>
  <si>
    <t>Russia:</t>
  </si>
  <si>
    <t>South Africa:</t>
  </si>
  <si>
    <t>United States:</t>
  </si>
  <si>
    <r>
      <t>e</t>
    </r>
    <r>
      <rPr>
        <sz val="8"/>
        <rFont val="Times New Roman"/>
        <family val="1"/>
      </rPr>
      <t xml:space="preserve">Estimated.  </t>
    </r>
    <r>
      <rPr>
        <vertAlign val="superscript"/>
        <sz val="8"/>
        <rFont val="Times New Roman"/>
        <family val="1"/>
      </rPr>
      <t>r</t>
    </r>
    <r>
      <rPr>
        <sz val="8"/>
        <rFont val="Times New Roman"/>
        <family val="1"/>
      </rPr>
      <t>Revised.  -- Zero.</t>
    </r>
  </si>
  <si>
    <r>
      <t>1</t>
    </r>
    <r>
      <rPr>
        <sz val="8"/>
        <rFont val="Times New Roman"/>
        <family val="1"/>
      </rPr>
      <t>Table includes data available through October 18, 2018. All data are reported unless otherwise noted. Totals, U.S. data, and estimated data are rounded to no more than three significant digits; may not add to totals shown.</t>
    </r>
  </si>
  <si>
    <r>
      <t>2</t>
    </r>
    <r>
      <rPr>
        <sz val="8"/>
        <rFont val="Times New Roman"/>
        <family val="1"/>
      </rPr>
      <t>Production includes alternative iron ore source as follows: Greece (nickeliferous iron ore) and New Zealand (titaniferous magnetite sands).</t>
    </r>
  </si>
  <si>
    <r>
      <t>3</t>
    </r>
    <r>
      <rPr>
        <sz val="8"/>
        <rFont val="Times New Roman"/>
        <family val="1"/>
      </rPr>
      <t>Production is based on fiscal year, with a starting date of July 16 of the year shown.</t>
    </r>
  </si>
  <si>
    <r>
      <t>4</t>
    </r>
    <r>
      <rPr>
        <sz val="8"/>
        <rFont val="Times New Roman"/>
        <family val="1"/>
      </rPr>
      <t>Less than ½ unit.</t>
    </r>
  </si>
  <si>
    <r>
      <t>5</t>
    </r>
    <r>
      <rPr>
        <sz val="8"/>
        <rFont val="Times New Roman"/>
        <family val="1"/>
      </rPr>
      <t>Production is based on fiscal year, with a starting date of April 1 of the year shown.</t>
    </r>
  </si>
  <si>
    <t>Usable ore</t>
  </si>
  <si>
    <t>Iron content</t>
  </si>
  <si>
    <t>2017</t>
  </si>
  <si>
    <t>2018</t>
  </si>
  <si>
    <t>2019</t>
  </si>
  <si>
    <t>2020</t>
  </si>
  <si>
    <t>2021</t>
  </si>
  <si>
    <t>Argentina</t>
  </si>
  <si>
    <t>Bhutan</t>
  </si>
  <si>
    <t>Canada</t>
  </si>
  <si>
    <t>China</t>
  </si>
  <si>
    <t>Congo, Brazzaville</t>
  </si>
  <si>
    <t>Indonesia, iron sand</t>
  </si>
  <si>
    <t>Iran</t>
  </si>
  <si>
    <t>Korea, North</t>
  </si>
  <si>
    <t>Laos</t>
  </si>
  <si>
    <t>Liberia</t>
  </si>
  <si>
    <t>Mexico</t>
  </si>
  <si>
    <t>Nigeria</t>
  </si>
  <si>
    <t>Pakistan</t>
  </si>
  <si>
    <t>Philippines</t>
  </si>
  <si>
    <t>Russia, concentrate</t>
  </si>
  <si>
    <t>Sierra Leone</t>
  </si>
  <si>
    <t>South Africa</t>
  </si>
  <si>
    <t>(3)</t>
  </si>
  <si>
    <t>Uganda</t>
  </si>
  <si>
    <r>
      <t>Greece</t>
    </r>
    <r>
      <rPr>
        <vertAlign val="superscript"/>
        <sz val="11"/>
        <color rgb="FF000000"/>
        <rFont val="Times New Roman"/>
        <family val="1"/>
      </rPr>
      <t>2</t>
    </r>
  </si>
  <si>
    <r>
      <t>New Zealand, iron sand</t>
    </r>
    <r>
      <rPr>
        <vertAlign val="superscript"/>
        <sz val="11"/>
        <color rgb="FF000000"/>
        <rFont val="Times New Roman"/>
        <family val="1"/>
      </rPr>
      <t>2</t>
    </r>
  </si>
  <si>
    <r>
      <t>Togo</t>
    </r>
    <r>
      <rPr>
        <vertAlign val="superscript"/>
        <sz val="11"/>
        <color rgb="FF000000"/>
        <rFont val="Times New Roman"/>
        <family val="1"/>
      </rPr>
      <t>e</t>
    </r>
  </si>
  <si>
    <r>
      <t>Ukraine</t>
    </r>
    <r>
      <rPr>
        <vertAlign val="superscript"/>
        <sz val="11"/>
        <color rgb="FF000000"/>
        <rFont val="Times New Roman"/>
        <family val="1"/>
      </rPr>
      <t>4</t>
    </r>
  </si>
  <si>
    <r>
      <t>Uruguay</t>
    </r>
    <r>
      <rPr>
        <vertAlign val="superscript"/>
        <sz val="11"/>
        <color rgb="FF000000"/>
        <rFont val="Times New Roman"/>
        <family val="1"/>
      </rPr>
      <t>5</t>
    </r>
  </si>
  <si>
    <r>
      <t>e</t>
    </r>
    <r>
      <rPr>
        <sz val="11"/>
        <color rgb="FF000000"/>
        <rFont val="Times New Roman"/>
        <family val="1"/>
      </rPr>
      <t xml:space="preserve">Estimated.  </t>
    </r>
    <r>
      <rPr>
        <vertAlign val="superscript"/>
        <sz val="11"/>
        <color rgb="FF000000"/>
        <rFont val="Times New Roman"/>
        <family val="1"/>
      </rPr>
      <t>r</t>
    </r>
    <r>
      <rPr>
        <sz val="11"/>
        <color rgb="FF000000"/>
        <rFont val="Times New Roman"/>
        <family val="1"/>
      </rPr>
      <t>Revised.  NA not available.  -- Zero.</t>
    </r>
  </si>
  <si>
    <r>
      <t>1</t>
    </r>
    <r>
      <rPr>
        <sz val="11"/>
        <color rgb="FF000000"/>
        <rFont val="Times New Roman"/>
        <family val="1"/>
      </rPr>
      <t>Table includes data available through October 25, 2022. All data are reported unless otherwise noted; totals may include estimated data. Totals, U.S. data, and estimated data are rounded to no more than three significant digits; may not add to totals shown.</t>
    </r>
  </si>
  <si>
    <r>
      <t>2</t>
    </r>
    <r>
      <rPr>
        <sz val="11"/>
        <color rgb="FF000000"/>
        <rFont val="Times New Roman"/>
        <family val="1"/>
      </rPr>
      <t>Production includes alternative iron ore source as follows: Greece (nickeliferous iron ore) and New Zealand (titaniferous magnetite beach sands).</t>
    </r>
  </si>
  <si>
    <r>
      <t>3</t>
    </r>
    <r>
      <rPr>
        <sz val="11"/>
        <color rgb="FF000000"/>
        <rFont val="Times New Roman"/>
        <family val="1"/>
      </rPr>
      <t>Less than ½ unit.</t>
    </r>
  </si>
  <si>
    <r>
      <t>4</t>
    </r>
    <r>
      <rPr>
        <sz val="11"/>
        <color rgb="FF000000"/>
        <rFont val="Times New Roman"/>
        <family val="1"/>
      </rPr>
      <t>Series revised to reflect change in Ukraine's geopolitical reporting areas.</t>
    </r>
  </si>
  <si>
    <r>
      <t>5</t>
    </r>
    <r>
      <rPr>
        <sz val="11"/>
        <color rgb="FF000000"/>
        <rFont val="Times New Roman"/>
        <family val="1"/>
      </rPr>
      <t>Production is based on fiscal year, with a starting date of April 1 of the year shown.</t>
    </r>
  </si>
  <si>
    <t xml:space="preserve"> TABLE 10</t>
  </si>
  <si>
    <r>
      <t>PIG IRON AND DIRECT-REDUCED IRON:   WORLD PRODUCTION, BY COUNTRY</t>
    </r>
    <r>
      <rPr>
        <vertAlign val="superscript"/>
        <sz val="8"/>
        <rFont val="Times New Roman"/>
        <family val="1"/>
      </rPr>
      <t>1, 2, 3, 4</t>
    </r>
  </si>
  <si>
    <r>
      <t>Albania</t>
    </r>
    <r>
      <rPr>
        <vertAlign val="superscript"/>
        <sz val="8"/>
        <rFont val="Times New Roman"/>
        <family val="1"/>
      </rPr>
      <t>e</t>
    </r>
  </si>
  <si>
    <r>
      <t>Algeria</t>
    </r>
    <r>
      <rPr>
        <vertAlign val="superscript"/>
        <sz val="8"/>
        <rFont val="Times New Roman"/>
        <family val="1"/>
      </rPr>
      <t>e</t>
    </r>
  </si>
  <si>
    <t>Argentina:</t>
  </si>
  <si>
    <t xml:space="preserve">Pig iron </t>
  </si>
  <si>
    <t>Direct-reduced iron</t>
  </si>
  <si>
    <t>Belgium</t>
  </si>
  <si>
    <r>
      <t>Burma:</t>
    </r>
    <r>
      <rPr>
        <vertAlign val="superscript"/>
        <sz val="8"/>
        <rFont val="Times New Roman"/>
        <family val="1"/>
      </rPr>
      <t>e</t>
    </r>
    <r>
      <rPr>
        <sz val="8"/>
        <rFont val="Times New Roman"/>
        <family val="1"/>
      </rPr>
      <t xml:space="preserve">  </t>
    </r>
  </si>
  <si>
    <r>
      <t>China</t>
    </r>
    <r>
      <rPr>
        <vertAlign val="superscript"/>
        <sz val="8"/>
        <rFont val="Times New Roman"/>
        <family val="1"/>
      </rPr>
      <t>7</t>
    </r>
  </si>
  <si>
    <t xml:space="preserve">Czech Republic </t>
  </si>
  <si>
    <r>
      <t>Pig iron</t>
    </r>
    <r>
      <rPr>
        <vertAlign val="superscript"/>
        <sz val="8"/>
        <rFont val="Times New Roman"/>
        <family val="1"/>
      </rPr>
      <t>e</t>
    </r>
  </si>
  <si>
    <t xml:space="preserve">Direct-reduced iron </t>
  </si>
  <si>
    <t>Finland</t>
  </si>
  <si>
    <t>France</t>
  </si>
  <si>
    <t>r, 8</t>
  </si>
  <si>
    <t xml:space="preserve">Hungary </t>
  </si>
  <si>
    <r>
      <t>Indonesia, direct-reduced iron</t>
    </r>
    <r>
      <rPr>
        <vertAlign val="superscript"/>
        <sz val="8"/>
        <rFont val="Times New Roman"/>
        <family val="1"/>
      </rPr>
      <t>e</t>
    </r>
  </si>
  <si>
    <t>Italy</t>
  </si>
  <si>
    <t xml:space="preserve">Libya, direct-reduced iron </t>
  </si>
  <si>
    <r>
      <t>Malaysia, direct-reduced iron</t>
    </r>
    <r>
      <rPr>
        <vertAlign val="superscript"/>
        <sz val="8"/>
        <rFont val="Times New Roman"/>
        <family val="1"/>
      </rPr>
      <t>e</t>
    </r>
  </si>
  <si>
    <r>
      <t>Morocco</t>
    </r>
    <r>
      <rPr>
        <vertAlign val="superscript"/>
        <sz val="8"/>
        <rFont val="Times New Roman"/>
        <family val="1"/>
      </rPr>
      <t>e</t>
    </r>
  </si>
  <si>
    <r>
      <t>Netherlands</t>
    </r>
    <r>
      <rPr>
        <vertAlign val="superscript"/>
        <sz val="8"/>
        <rFont val="Times New Roman"/>
        <family val="1"/>
      </rPr>
      <t xml:space="preserve">8       </t>
    </r>
    <r>
      <rPr>
        <sz val="8"/>
        <rFont val="Times New Roman"/>
        <family val="1"/>
      </rPr>
      <t xml:space="preserve">    </t>
    </r>
  </si>
  <si>
    <t>New Zealand</t>
  </si>
  <si>
    <r>
      <t>Norway</t>
    </r>
    <r>
      <rPr>
        <vertAlign val="superscript"/>
        <sz val="8"/>
        <rFont val="Times New Roman"/>
        <family val="1"/>
      </rPr>
      <t>e</t>
    </r>
  </si>
  <si>
    <r>
      <t>Pakistan</t>
    </r>
    <r>
      <rPr>
        <vertAlign val="superscript"/>
        <sz val="8"/>
        <rFont val="Times New Roman"/>
        <family val="1"/>
      </rPr>
      <t>e</t>
    </r>
  </si>
  <si>
    <t>Paraguay</t>
  </si>
  <si>
    <t>Poland</t>
  </si>
  <si>
    <t xml:space="preserve">Portugal </t>
  </si>
  <si>
    <t xml:space="preserve">Qatar, direct-reduced iron </t>
  </si>
  <si>
    <t xml:space="preserve"> TABLE 10--Continued</t>
  </si>
  <si>
    <t>Saudi Arabia, direct-reduced iron</t>
  </si>
  <si>
    <t xml:space="preserve">Serbia and Montenegro </t>
  </si>
  <si>
    <t xml:space="preserve">Slovakia  </t>
  </si>
  <si>
    <t>Spain</t>
  </si>
  <si>
    <r>
      <t>Switzerland</t>
    </r>
    <r>
      <rPr>
        <vertAlign val="superscript"/>
        <sz val="8"/>
        <rFont val="Times New Roman"/>
        <family val="1"/>
      </rPr>
      <t>e</t>
    </r>
  </si>
  <si>
    <t xml:space="preserve">Taiwan </t>
  </si>
  <si>
    <t>Trinidad and Tobago, direct-reduced iron</t>
  </si>
  <si>
    <t xml:space="preserve">Tunisia </t>
  </si>
  <si>
    <t xml:space="preserve">Turkey  </t>
  </si>
  <si>
    <t>Venezuela, direct-reduced iron</t>
  </si>
  <si>
    <r>
      <t>Zimbabwe</t>
    </r>
    <r>
      <rPr>
        <vertAlign val="superscript"/>
        <sz val="8"/>
        <rFont val="Times New Roman"/>
        <family val="1"/>
      </rPr>
      <t>e</t>
    </r>
  </si>
  <si>
    <t>Grand total</t>
  </si>
  <si>
    <t>Of which:</t>
  </si>
  <si>
    <t>Pig iron</t>
  </si>
  <si>
    <r>
      <t>e</t>
    </r>
    <r>
      <rPr>
        <sz val="8"/>
        <rFont val="Times New Roman"/>
        <family val="1"/>
      </rPr>
      <t xml:space="preserve">Estimated.  </t>
    </r>
    <r>
      <rPr>
        <vertAlign val="superscript"/>
        <sz val="8"/>
        <rFont val="Times New Roman"/>
        <family val="1"/>
      </rPr>
      <t xml:space="preserve"> p</t>
    </r>
    <r>
      <rPr>
        <sz val="8"/>
        <rFont val="Times New Roman"/>
        <family val="1"/>
      </rPr>
      <t xml:space="preserve">Preliminary.  </t>
    </r>
    <r>
      <rPr>
        <vertAlign val="superscript"/>
        <sz val="8"/>
        <rFont val="Times New Roman"/>
        <family val="1"/>
      </rPr>
      <t>r</t>
    </r>
    <r>
      <rPr>
        <sz val="8"/>
        <rFont val="Times New Roman"/>
        <family val="1"/>
      </rPr>
      <t>Revised.  -- Zero.</t>
    </r>
  </si>
  <si>
    <r>
      <t>1</t>
    </r>
    <r>
      <rPr>
        <sz val="8"/>
        <rFont val="Times New Roman"/>
        <family val="1"/>
      </rPr>
      <t xml:space="preserve">World totals, U.S. data, and estimated data are rounded to no more than three significant digits; may not add to totals shown. </t>
    </r>
  </si>
  <si>
    <r>
      <t>2</t>
    </r>
    <r>
      <rPr>
        <sz val="8"/>
        <rFont val="Times New Roman"/>
        <family val="1"/>
      </rPr>
      <t>Production is pig iron unless otherwise specified.</t>
    </r>
  </si>
  <si>
    <r>
      <t>3</t>
    </r>
    <r>
      <rPr>
        <sz val="8"/>
        <rFont val="Times New Roman"/>
        <family val="1"/>
      </rPr>
      <t>Direct-reduced iron is obtained from ore by reduction of oxides to metal without melting.</t>
    </r>
  </si>
  <si>
    <r>
      <t>4</t>
    </r>
    <r>
      <rPr>
        <sz val="8"/>
        <rFont val="Times New Roman"/>
        <family val="1"/>
      </rPr>
      <t>Table excludes ferroalloy production except where otherwise noted.  Table includes data available through August 10, 2003.</t>
    </r>
  </si>
  <si>
    <r>
      <t>5</t>
    </r>
    <r>
      <rPr>
        <sz val="8"/>
        <rFont val="Times New Roman"/>
        <family val="1"/>
      </rPr>
      <t xml:space="preserve">In addition to the countries listed, Vietnam has facilities to produce pig iron and may have produced limited quantities during 1998-2002, but output is not </t>
    </r>
  </si>
  <si>
    <t>reported and available information is inadequate to make reliable estimates of output levels.</t>
  </si>
  <si>
    <r>
      <t>7</t>
    </r>
    <r>
      <rPr>
        <sz val="8"/>
        <rFont val="Times New Roman"/>
        <family val="1"/>
      </rPr>
      <t>Figures reported by State Statistical Bureau that the Chinese Government considers as official statistical data.</t>
    </r>
  </si>
  <si>
    <t>TABLE 11</t>
  </si>
  <si>
    <r>
      <t>RAW STEEL:  WORLD PRODUCTION, BY COUNTRY</t>
    </r>
    <r>
      <rPr>
        <vertAlign val="superscript"/>
        <sz val="8"/>
        <rFont val="Times New Roman"/>
        <family val="1"/>
      </rPr>
      <t>1, 2, 3</t>
    </r>
  </si>
  <si>
    <t>5</t>
  </si>
  <si>
    <r>
      <t>Angola</t>
    </r>
    <r>
      <rPr>
        <vertAlign val="superscript"/>
        <sz val="8"/>
        <rFont val="Times New Roman"/>
        <family val="1"/>
      </rPr>
      <t>e</t>
    </r>
  </si>
  <si>
    <r>
      <t>Bangladesh</t>
    </r>
    <r>
      <rPr>
        <vertAlign val="superscript"/>
        <sz val="8"/>
        <rFont val="Times New Roman"/>
        <family val="1"/>
      </rPr>
      <t>e, 6</t>
    </r>
  </si>
  <si>
    <t>Belarus</t>
  </si>
  <si>
    <r>
      <t>Brazil</t>
    </r>
    <r>
      <rPr>
        <vertAlign val="superscript"/>
        <sz val="8"/>
        <rFont val="Times New Roman"/>
        <family val="1"/>
      </rPr>
      <t>7</t>
    </r>
  </si>
  <si>
    <r>
      <t>Burma</t>
    </r>
    <r>
      <rPr>
        <vertAlign val="superscript"/>
        <sz val="8"/>
        <rFont val="Times New Roman"/>
        <family val="1"/>
      </rPr>
      <t>e</t>
    </r>
  </si>
  <si>
    <r>
      <t>Chile</t>
    </r>
    <r>
      <rPr>
        <vertAlign val="superscript"/>
        <sz val="8"/>
        <rFont val="Times New Roman"/>
        <family val="1"/>
      </rPr>
      <t>7</t>
    </r>
  </si>
  <si>
    <r>
      <t>China</t>
    </r>
    <r>
      <rPr>
        <vertAlign val="superscript"/>
        <sz val="8"/>
        <rFont val="Times New Roman"/>
        <family val="1"/>
      </rPr>
      <t>8</t>
    </r>
  </si>
  <si>
    <t>Croatia</t>
  </si>
  <si>
    <t>Cuba</t>
  </si>
  <si>
    <t>Czech Republic</t>
  </si>
  <si>
    <t>Denmark</t>
  </si>
  <si>
    <t>Dominican Republic</t>
  </si>
  <si>
    <t>Ecuador</t>
  </si>
  <si>
    <t>El Salvador</t>
  </si>
  <si>
    <t>Georgia</t>
  </si>
  <si>
    <t>Ghana, all from scrap</t>
  </si>
  <si>
    <t>Greece</t>
  </si>
  <si>
    <r>
      <t>Hong Kong</t>
    </r>
    <r>
      <rPr>
        <vertAlign val="superscript"/>
        <sz val="8"/>
        <rFont val="Times New Roman"/>
        <family val="1"/>
      </rPr>
      <t>e</t>
    </r>
  </si>
  <si>
    <t>Hungary</t>
  </si>
  <si>
    <r>
      <t>Iraq</t>
    </r>
    <r>
      <rPr>
        <vertAlign val="superscript"/>
        <sz val="8"/>
        <rFont val="Times New Roman"/>
        <family val="1"/>
      </rPr>
      <t>e</t>
    </r>
  </si>
  <si>
    <t>Ireland</t>
  </si>
  <si>
    <r>
      <t>Israel</t>
    </r>
    <r>
      <rPr>
        <vertAlign val="superscript"/>
        <sz val="8"/>
        <rFont val="Times New Roman"/>
        <family val="1"/>
      </rPr>
      <t>e</t>
    </r>
  </si>
  <si>
    <r>
      <t>Jordan</t>
    </r>
    <r>
      <rPr>
        <vertAlign val="superscript"/>
        <sz val="8"/>
        <rFont val="Times New Roman"/>
        <family val="1"/>
      </rPr>
      <t>e</t>
    </r>
  </si>
  <si>
    <t>Latvia</t>
  </si>
  <si>
    <t>Libya</t>
  </si>
  <si>
    <t>Luxembourg</t>
  </si>
  <si>
    <t>Macedonia</t>
  </si>
  <si>
    <t>Moldova</t>
  </si>
  <si>
    <t>TABLE 11--Continued</t>
  </si>
  <si>
    <t>Netherlands</t>
  </si>
  <si>
    <t>Portugal</t>
  </si>
  <si>
    <t>Qatar</t>
  </si>
  <si>
    <t>Saudi Arabia</t>
  </si>
  <si>
    <t>Serbia and Montenegro</t>
  </si>
  <si>
    <r>
      <t>Singapore</t>
    </r>
    <r>
      <rPr>
        <vertAlign val="superscript"/>
        <sz val="8"/>
        <rFont val="Times New Roman"/>
        <family val="1"/>
      </rPr>
      <t>e</t>
    </r>
  </si>
  <si>
    <t>Slovenia</t>
  </si>
  <si>
    <r>
      <t>Sri Lanka</t>
    </r>
    <r>
      <rPr>
        <vertAlign val="superscript"/>
        <sz val="8"/>
        <rFont val="Times New Roman"/>
        <family val="1"/>
      </rPr>
      <t>e</t>
    </r>
  </si>
  <si>
    <t>Switzerland</t>
  </si>
  <si>
    <r>
      <t>Syria</t>
    </r>
    <r>
      <rPr>
        <vertAlign val="superscript"/>
        <sz val="8"/>
        <rFont val="Times New Roman"/>
        <family val="1"/>
      </rPr>
      <t>e</t>
    </r>
  </si>
  <si>
    <t>Taiwan</t>
  </si>
  <si>
    <t>Trinidad and Tobago</t>
  </si>
  <si>
    <r>
      <t>Uganda</t>
    </r>
    <r>
      <rPr>
        <vertAlign val="superscript"/>
        <sz val="8"/>
        <rFont val="Times New Roman"/>
        <family val="1"/>
      </rPr>
      <t>e</t>
    </r>
  </si>
  <si>
    <t>Uruguay</t>
  </si>
  <si>
    <t>Uzbekistan</t>
  </si>
  <si>
    <t xml:space="preserve">    Total</t>
  </si>
  <si>
    <r>
      <t>e</t>
    </r>
    <r>
      <rPr>
        <sz val="8"/>
        <rFont val="Times New Roman"/>
        <family val="1"/>
      </rPr>
      <t xml:space="preserve">Estimated.  </t>
    </r>
    <r>
      <rPr>
        <vertAlign val="superscript"/>
        <sz val="8"/>
        <rFont val="Times New Roman"/>
        <family val="1"/>
      </rPr>
      <t>p</t>
    </r>
    <r>
      <rPr>
        <sz val="8"/>
        <rFont val="Times New Roman"/>
        <family val="1"/>
      </rPr>
      <t xml:space="preserve">Preliminary.  </t>
    </r>
    <r>
      <rPr>
        <vertAlign val="superscript"/>
        <sz val="8"/>
        <rFont val="Times New Roman"/>
        <family val="1"/>
      </rPr>
      <t>r</t>
    </r>
    <r>
      <rPr>
        <sz val="8"/>
        <rFont val="Times New Roman"/>
        <family val="1"/>
      </rPr>
      <t>Revised.  NA Not available.  -- Zero.</t>
    </r>
  </si>
  <si>
    <r>
      <t>1</t>
    </r>
    <r>
      <rPr>
        <sz val="8"/>
        <rFont val="Times New Roman"/>
        <family val="1"/>
      </rPr>
      <t>World totals, U.S. data, and estimated data are rounded to no more than three significant digits; may not add to totals shown.</t>
    </r>
  </si>
  <si>
    <r>
      <t>2</t>
    </r>
    <r>
      <rPr>
        <sz val="8"/>
        <rFont val="Times New Roman"/>
        <family val="1"/>
      </rPr>
      <t>Steel formed in solid state after melting, suitable for further processing or sale; for some countries, includes material reported as "liquid steel,"</t>
    </r>
  </si>
  <si>
    <t>presumably measured in the molten state prior to cooling in any specific form.</t>
  </si>
  <si>
    <r>
      <t>3</t>
    </r>
    <r>
      <rPr>
        <sz val="8"/>
        <rFont val="Times New Roman"/>
        <family val="1"/>
      </rPr>
      <t>Table includes data available through August 1, 2003.</t>
    </r>
  </si>
  <si>
    <r>
      <t>4</t>
    </r>
    <r>
      <rPr>
        <sz val="8"/>
        <rFont val="Times New Roman"/>
        <family val="1"/>
      </rPr>
      <t>In addition to the countries listed, Mozambique is known to have steelmaking plants, but available information is inadequate to make</t>
    </r>
  </si>
  <si>
    <t>reliable estimates of output levels.</t>
  </si>
  <si>
    <r>
      <t>6</t>
    </r>
    <r>
      <rPr>
        <sz val="8"/>
        <rFont val="Times New Roman"/>
        <family val="1"/>
      </rPr>
      <t>Data for year ending June 30 of that stated.</t>
    </r>
  </si>
  <si>
    <r>
      <t>7</t>
    </r>
    <r>
      <rPr>
        <sz val="8"/>
        <rFont val="Times New Roman"/>
        <family val="1"/>
      </rPr>
      <t>Excludes castings.</t>
    </r>
  </si>
  <si>
    <r>
      <t>8</t>
    </r>
    <r>
      <rPr>
        <sz val="8"/>
        <rFont val="Times New Roman"/>
        <family val="1"/>
      </rPr>
      <t>Figures reported by State Statistical Bureau that Chinese Government considers as official statistical data.</t>
    </r>
  </si>
  <si>
    <t xml:space="preserve"> TABLE 9</t>
  </si>
  <si>
    <r>
      <t>PIG IRON AND DIRECT-REDUCED IRON: WORLD PRODUCTION, BY COUNTRY</t>
    </r>
    <r>
      <rPr>
        <vertAlign val="superscript"/>
        <sz val="8"/>
        <color indexed="8"/>
        <rFont val="times"/>
      </rPr>
      <t>1, 2, 3, 4</t>
    </r>
  </si>
  <si>
    <r>
      <t xml:space="preserve">                        Country</t>
    </r>
    <r>
      <rPr>
        <vertAlign val="superscript"/>
        <sz val="8"/>
        <color indexed="8"/>
        <rFont val="times"/>
      </rPr>
      <t>5</t>
    </r>
  </si>
  <si>
    <r>
      <t>2007</t>
    </r>
    <r>
      <rPr>
        <vertAlign val="superscript"/>
        <sz val="8"/>
        <rFont val="Times"/>
      </rPr>
      <t>e</t>
    </r>
  </si>
  <si>
    <r>
      <t>Algeria</t>
    </r>
    <r>
      <rPr>
        <vertAlign val="superscript"/>
        <sz val="8"/>
        <color indexed="8"/>
        <rFont val="times"/>
      </rPr>
      <t>e</t>
    </r>
  </si>
  <si>
    <t xml:space="preserve">     Pig iron </t>
  </si>
  <si>
    <t xml:space="preserve">     Direct-reduced iron</t>
  </si>
  <si>
    <r>
      <t>Bosnia and Herzegovina</t>
    </r>
    <r>
      <rPr>
        <vertAlign val="superscript"/>
        <sz val="8"/>
        <color indexed="8"/>
        <rFont val="times"/>
      </rPr>
      <t>e</t>
    </r>
  </si>
  <si>
    <t xml:space="preserve">    Pig iron</t>
  </si>
  <si>
    <r>
      <t xml:space="preserve">    Direct-reduced iron</t>
    </r>
    <r>
      <rPr>
        <vertAlign val="superscript"/>
        <sz val="8"/>
        <color indexed="8"/>
        <rFont val="times"/>
      </rPr>
      <t xml:space="preserve">e </t>
    </r>
  </si>
  <si>
    <r>
      <t>Burma:</t>
    </r>
    <r>
      <rPr>
        <vertAlign val="superscript"/>
        <sz val="8"/>
        <color indexed="8"/>
        <rFont val="times"/>
      </rPr>
      <t>e</t>
    </r>
    <r>
      <rPr>
        <sz val="8"/>
        <color indexed="8"/>
        <rFont val="times"/>
      </rPr>
      <t xml:space="preserve">  </t>
    </r>
  </si>
  <si>
    <t xml:space="preserve">     Pig iron  </t>
  </si>
  <si>
    <t xml:space="preserve">     Direct-reduced iron  </t>
  </si>
  <si>
    <t xml:space="preserve">     Pig iron</t>
  </si>
  <si>
    <r>
      <t>China</t>
    </r>
    <r>
      <rPr>
        <vertAlign val="superscript"/>
        <sz val="8"/>
        <color indexed="8"/>
        <rFont val="times"/>
      </rPr>
      <t>7</t>
    </r>
  </si>
  <si>
    <r>
      <t xml:space="preserve">     Direct-reduced iron</t>
    </r>
    <r>
      <rPr>
        <vertAlign val="superscript"/>
        <sz val="8"/>
        <color indexed="8"/>
        <rFont val="Times"/>
        <family val="1"/>
      </rPr>
      <t>e</t>
    </r>
  </si>
  <si>
    <t xml:space="preserve">   Pig iron</t>
  </si>
  <si>
    <t xml:space="preserve">   Direct-reduced iron </t>
  </si>
  <si>
    <r>
      <t>Indonesia, direct-reduced iron</t>
    </r>
    <r>
      <rPr>
        <vertAlign val="superscript"/>
        <sz val="8"/>
        <color indexed="8"/>
        <rFont val="times"/>
      </rPr>
      <t>e</t>
    </r>
  </si>
  <si>
    <r>
      <t xml:space="preserve">   Direct-reduced iron</t>
    </r>
    <r>
      <rPr>
        <vertAlign val="superscript"/>
        <sz val="8"/>
        <color indexed="8"/>
        <rFont val="times"/>
      </rPr>
      <t>e</t>
    </r>
  </si>
  <si>
    <r>
      <t>Korea, North</t>
    </r>
    <r>
      <rPr>
        <vertAlign val="superscript"/>
        <sz val="8"/>
        <color indexed="8"/>
        <rFont val="times"/>
      </rPr>
      <t>e</t>
    </r>
  </si>
  <si>
    <r>
      <t>Libya, direct-reduced iron</t>
    </r>
    <r>
      <rPr>
        <vertAlign val="superscript"/>
        <sz val="8"/>
        <color indexed="8"/>
        <rFont val="times"/>
      </rPr>
      <t xml:space="preserve">e </t>
    </r>
  </si>
  <si>
    <t>Malaysia, direct-reduced iron</t>
  </si>
  <si>
    <r>
      <t>Morocco</t>
    </r>
    <r>
      <rPr>
        <vertAlign val="superscript"/>
        <sz val="8"/>
        <color indexed="8"/>
        <rFont val="times"/>
      </rPr>
      <t>e</t>
    </r>
  </si>
  <si>
    <t xml:space="preserve"> TABLE 9—Continued</t>
  </si>
  <si>
    <r>
      <t>Netherlands</t>
    </r>
    <r>
      <rPr>
        <vertAlign val="superscript"/>
        <sz val="8"/>
        <color indexed="8"/>
        <rFont val="times"/>
      </rPr>
      <t xml:space="preserve">8     </t>
    </r>
    <r>
      <rPr>
        <sz val="8"/>
        <color indexed="8"/>
        <rFont val="times"/>
      </rPr>
      <t xml:space="preserve">    </t>
    </r>
  </si>
  <si>
    <r>
      <t>New Zealand</t>
    </r>
    <r>
      <rPr>
        <vertAlign val="superscript"/>
        <sz val="8"/>
        <color indexed="8"/>
        <rFont val="times"/>
      </rPr>
      <t>e</t>
    </r>
  </si>
  <si>
    <r>
      <t>Norway</t>
    </r>
    <r>
      <rPr>
        <vertAlign val="superscript"/>
        <sz val="8"/>
        <color indexed="8"/>
        <rFont val="times"/>
      </rPr>
      <t>e</t>
    </r>
  </si>
  <si>
    <r>
      <t>Pakistan</t>
    </r>
    <r>
      <rPr>
        <vertAlign val="superscript"/>
        <sz val="8"/>
        <color indexed="8"/>
        <rFont val="times"/>
      </rPr>
      <t>e</t>
    </r>
  </si>
  <si>
    <r>
      <t>Peru:</t>
    </r>
    <r>
      <rPr>
        <vertAlign val="superscript"/>
        <sz val="8"/>
        <color indexed="8"/>
        <rFont val="times"/>
      </rPr>
      <t>e</t>
    </r>
  </si>
  <si>
    <t xml:space="preserve">    Pig iron </t>
  </si>
  <si>
    <t xml:space="preserve">    Direct-reduced iron</t>
  </si>
  <si>
    <r>
      <t xml:space="preserve">     Direct-reduced iron</t>
    </r>
    <r>
      <rPr>
        <vertAlign val="superscript"/>
        <sz val="8"/>
        <color indexed="8"/>
        <rFont val="times"/>
      </rPr>
      <t xml:space="preserve">e </t>
    </r>
  </si>
  <si>
    <t>Serbia</t>
  </si>
  <si>
    <t>9</t>
  </si>
  <si>
    <t>r, 9</t>
  </si>
  <si>
    <r>
      <t>Zimbabwe</t>
    </r>
    <r>
      <rPr>
        <vertAlign val="superscript"/>
        <sz val="8"/>
        <color indexed="8"/>
        <rFont val="Times"/>
        <family val="1"/>
      </rPr>
      <t>e</t>
    </r>
  </si>
  <si>
    <t xml:space="preserve">    Grand total</t>
  </si>
  <si>
    <t xml:space="preserve">         Of which:</t>
  </si>
  <si>
    <t xml:space="preserve">             Pig iron</t>
  </si>
  <si>
    <t xml:space="preserve">             Direct-reduced iron</t>
  </si>
  <si>
    <r>
      <t>e</t>
    </r>
    <r>
      <rPr>
        <sz val="8"/>
        <color indexed="8"/>
        <rFont val="times"/>
      </rPr>
      <t xml:space="preserve">Estimated. </t>
    </r>
    <r>
      <rPr>
        <vertAlign val="superscript"/>
        <sz val="8"/>
        <color indexed="8"/>
        <rFont val="times"/>
      </rPr>
      <t>p</t>
    </r>
    <r>
      <rPr>
        <sz val="8"/>
        <color indexed="8"/>
        <rFont val="times"/>
      </rPr>
      <t xml:space="preserve">Preliminary. </t>
    </r>
    <r>
      <rPr>
        <vertAlign val="superscript"/>
        <sz val="8"/>
        <color indexed="8"/>
        <rFont val="times"/>
      </rPr>
      <t>r</t>
    </r>
    <r>
      <rPr>
        <sz val="8"/>
        <color indexed="8"/>
        <rFont val="times"/>
      </rPr>
      <t>Revised. -- Zero.</t>
    </r>
  </si>
  <si>
    <r>
      <t>1</t>
    </r>
    <r>
      <rPr>
        <sz val="8"/>
        <color indexed="8"/>
        <rFont val="times"/>
      </rPr>
      <t xml:space="preserve">World totals, U.S. data, and estimated data are rounded to no more than three significant digits; may not add </t>
    </r>
  </si>
  <si>
    <t xml:space="preserve">to totals shown. </t>
  </si>
  <si>
    <r>
      <t>2</t>
    </r>
    <r>
      <rPr>
        <sz val="8"/>
        <color indexed="8"/>
        <rFont val="times"/>
      </rPr>
      <t>Production is pig iron unless otherwise specified.</t>
    </r>
  </si>
  <si>
    <r>
      <t>3</t>
    </r>
    <r>
      <rPr>
        <sz val="8"/>
        <color indexed="8"/>
        <rFont val="times"/>
      </rPr>
      <t>Direct-reduced iron is obtained from ore by reduction of oxides to metal without melting.</t>
    </r>
  </si>
  <si>
    <r>
      <t>4</t>
    </r>
    <r>
      <rPr>
        <sz val="8"/>
        <color indexed="8"/>
        <rFont val="times"/>
      </rPr>
      <t>Table excludes ferroalloy production except where otherwise noted. Table includes data available through</t>
    </r>
  </si>
  <si>
    <t xml:space="preserve"> August 10, 2008.</t>
  </si>
  <si>
    <r>
      <t>5</t>
    </r>
    <r>
      <rPr>
        <sz val="8"/>
        <color indexed="8"/>
        <rFont val="times"/>
      </rPr>
      <t xml:space="preserve">In addition to the countries listed, Vietnam has facilities to produce pig iron and may have produced limited </t>
    </r>
  </si>
  <si>
    <t>quantities during 2003–07, but output is not reported and available information is inadequate to make reliable</t>
  </si>
  <si>
    <t xml:space="preserve"> estimates of output levels.</t>
  </si>
  <si>
    <r>
      <t>6</t>
    </r>
    <r>
      <rPr>
        <sz val="8"/>
        <color indexed="8"/>
        <rFont val="times"/>
      </rPr>
      <t>Reported figure.</t>
    </r>
  </si>
  <si>
    <r>
      <t>7</t>
    </r>
    <r>
      <rPr>
        <sz val="8"/>
        <color indexed="8"/>
        <rFont val="times"/>
      </rPr>
      <t>Figures reported by State Statistical Bureau that the Chinese Government considers to be official statistical data.</t>
    </r>
  </si>
  <si>
    <r>
      <t>8</t>
    </r>
    <r>
      <rPr>
        <sz val="8"/>
        <color indexed="8"/>
        <rFont val="times"/>
      </rPr>
      <t>Includes blast furnace ferroalloys.</t>
    </r>
  </si>
  <si>
    <r>
      <t>9</t>
    </r>
    <r>
      <rPr>
        <sz val="8"/>
        <rFont val="Times"/>
        <family val="1"/>
      </rPr>
      <t>Montenegro and Serbia formally declared independence in June 2006 from each other and dissolved their union.</t>
    </r>
  </si>
  <si>
    <t>TABLE 10</t>
  </si>
  <si>
    <r>
      <t>RAW STEEL: WORLD PRODUCTION, BY COUNTRY</t>
    </r>
    <r>
      <rPr>
        <vertAlign val="superscript"/>
        <sz val="8"/>
        <rFont val="Times"/>
        <family val="1"/>
      </rPr>
      <t>1, 2, 3</t>
    </r>
  </si>
  <si>
    <r>
      <t>Country</t>
    </r>
    <r>
      <rPr>
        <vertAlign val="superscript"/>
        <sz val="8"/>
        <rFont val="Times"/>
        <family val="1"/>
      </rPr>
      <t>4</t>
    </r>
  </si>
  <si>
    <t>2007</t>
  </si>
  <si>
    <t>Albania</t>
  </si>
  <si>
    <r>
      <t>Bangladesh</t>
    </r>
    <r>
      <rPr>
        <vertAlign val="superscript"/>
        <sz val="8"/>
        <rFont val="Times"/>
        <family val="1"/>
      </rPr>
      <t>e, 5</t>
    </r>
  </si>
  <si>
    <r>
      <t>Brazil</t>
    </r>
    <r>
      <rPr>
        <vertAlign val="superscript"/>
        <sz val="8"/>
        <rFont val="Times"/>
        <family val="1"/>
      </rPr>
      <t>7</t>
    </r>
  </si>
  <si>
    <r>
      <t>Burma</t>
    </r>
    <r>
      <rPr>
        <vertAlign val="superscript"/>
        <sz val="8"/>
        <rFont val="Times"/>
        <family val="1"/>
      </rPr>
      <t>e</t>
    </r>
  </si>
  <si>
    <r>
      <t>Chile</t>
    </r>
    <r>
      <rPr>
        <vertAlign val="superscript"/>
        <sz val="8"/>
        <rFont val="Times"/>
        <family val="1"/>
      </rPr>
      <t>7</t>
    </r>
  </si>
  <si>
    <r>
      <t>China</t>
    </r>
    <r>
      <rPr>
        <vertAlign val="superscript"/>
        <sz val="8"/>
        <rFont val="Times"/>
        <family val="1"/>
      </rPr>
      <t>8</t>
    </r>
  </si>
  <si>
    <r>
      <t>Dominican Republic</t>
    </r>
    <r>
      <rPr>
        <vertAlign val="superscript"/>
        <sz val="8"/>
        <rFont val="Times"/>
        <family val="1"/>
      </rPr>
      <t>e</t>
    </r>
  </si>
  <si>
    <r>
      <t>Ethiopia, all from scrap</t>
    </r>
    <r>
      <rPr>
        <vertAlign val="superscript"/>
        <sz val="8"/>
        <rFont val="Times"/>
        <family val="1"/>
      </rPr>
      <t>e</t>
    </r>
  </si>
  <si>
    <r>
      <t>Ghana, all from scrap</t>
    </r>
    <r>
      <rPr>
        <vertAlign val="superscript"/>
        <sz val="8"/>
        <rFont val="Times"/>
        <family val="1"/>
      </rPr>
      <t>e</t>
    </r>
  </si>
  <si>
    <r>
      <t>Hong Kong</t>
    </r>
    <r>
      <rPr>
        <vertAlign val="superscript"/>
        <sz val="8"/>
        <rFont val="Times"/>
        <family val="1"/>
      </rPr>
      <t>e</t>
    </r>
  </si>
  <si>
    <r>
      <t>Israel</t>
    </r>
    <r>
      <rPr>
        <vertAlign val="superscript"/>
        <sz val="8"/>
        <rFont val="Times"/>
        <family val="1"/>
      </rPr>
      <t>e</t>
    </r>
  </si>
  <si>
    <r>
      <t>Jordan</t>
    </r>
    <r>
      <rPr>
        <vertAlign val="superscript"/>
        <sz val="8"/>
        <rFont val="Times"/>
        <family val="1"/>
      </rPr>
      <t>e</t>
    </r>
  </si>
  <si>
    <r>
      <t>Latvia</t>
    </r>
    <r>
      <rPr>
        <vertAlign val="superscript"/>
        <sz val="8"/>
        <rFont val="Times"/>
        <family val="1"/>
      </rPr>
      <t>e</t>
    </r>
  </si>
  <si>
    <t>TABLE 10—Continued</t>
  </si>
  <si>
    <t>Montenegro</t>
  </si>
  <si>
    <r>
      <t>(</t>
    </r>
    <r>
      <rPr>
        <sz val="6"/>
        <rFont val="Times"/>
        <family val="1"/>
      </rPr>
      <t>9</t>
    </r>
    <r>
      <rPr>
        <sz val="8"/>
        <rFont val="Times"/>
        <family val="1"/>
      </rPr>
      <t>)</t>
    </r>
  </si>
  <si>
    <t>10</t>
  </si>
  <si>
    <r>
      <t>Norway</t>
    </r>
    <r>
      <rPr>
        <vertAlign val="superscript"/>
        <sz val="8"/>
        <rFont val="Times"/>
        <family val="1"/>
      </rPr>
      <t>e</t>
    </r>
  </si>
  <si>
    <t>XX</t>
  </si>
  <si>
    <t>r, 10</t>
  </si>
  <si>
    <r>
      <t>Singapore</t>
    </r>
    <r>
      <rPr>
        <vertAlign val="superscript"/>
        <sz val="8"/>
        <rFont val="Times"/>
        <family val="1"/>
      </rPr>
      <t>e</t>
    </r>
  </si>
  <si>
    <r>
      <t>Sri Lanka</t>
    </r>
    <r>
      <rPr>
        <vertAlign val="superscript"/>
        <sz val="8"/>
        <rFont val="Times"/>
        <family val="1"/>
      </rPr>
      <t>e</t>
    </r>
  </si>
  <si>
    <r>
      <t>Syria</t>
    </r>
    <r>
      <rPr>
        <vertAlign val="superscript"/>
        <sz val="8"/>
        <rFont val="Times"/>
        <family val="1"/>
      </rPr>
      <t>e</t>
    </r>
  </si>
  <si>
    <r>
      <t>United Arab Emirates</t>
    </r>
    <r>
      <rPr>
        <vertAlign val="superscript"/>
        <sz val="8"/>
        <rFont val="Times"/>
        <family val="1"/>
      </rPr>
      <t>e</t>
    </r>
  </si>
  <si>
    <r>
      <t>Uzbekistan</t>
    </r>
    <r>
      <rPr>
        <vertAlign val="superscript"/>
        <sz val="8"/>
        <rFont val="Times"/>
        <family val="1"/>
      </rPr>
      <t>e</t>
    </r>
  </si>
  <si>
    <r>
      <t>e</t>
    </r>
    <r>
      <rPr>
        <sz val="8"/>
        <rFont val="Times"/>
        <family val="1"/>
      </rPr>
      <t xml:space="preserve">Estimated. </t>
    </r>
    <r>
      <rPr>
        <vertAlign val="superscript"/>
        <sz val="8"/>
        <rFont val="Times"/>
        <family val="1"/>
      </rPr>
      <t>p</t>
    </r>
    <r>
      <rPr>
        <sz val="8"/>
        <rFont val="Times"/>
        <family val="1"/>
      </rPr>
      <t xml:space="preserve">Preliminary. </t>
    </r>
    <r>
      <rPr>
        <vertAlign val="superscript"/>
        <sz val="8"/>
        <rFont val="Times"/>
        <family val="1"/>
      </rPr>
      <t>r</t>
    </r>
    <r>
      <rPr>
        <sz val="8"/>
        <rFont val="Times"/>
        <family val="1"/>
      </rPr>
      <t>Revised. XX Not applicable. -- Zero.</t>
    </r>
  </si>
  <si>
    <r>
      <t>1</t>
    </r>
    <r>
      <rPr>
        <sz val="8"/>
        <rFont val="Times"/>
        <family val="1"/>
      </rPr>
      <t xml:space="preserve">World totals, U.S. data, and estimated data are rounded to no more than three significant digits; may not add to totals shown.    </t>
    </r>
  </si>
  <si>
    <r>
      <t>2</t>
    </r>
    <r>
      <rPr>
        <sz val="8"/>
        <rFont val="Times"/>
        <family val="1"/>
      </rPr>
      <t xml:space="preserve">Steel formed in solid state after melting, suitable for further processing or sale; for some countries, includes material </t>
    </r>
  </si>
  <si>
    <t>reported as “liquid steel,” presumably measured in the molten state prior to cooling in any specific form.</t>
  </si>
  <si>
    <r>
      <t>3</t>
    </r>
    <r>
      <rPr>
        <sz val="8"/>
        <rFont val="Times"/>
        <family val="1"/>
      </rPr>
      <t>Table includes data available through July 28, 2008.</t>
    </r>
  </si>
  <si>
    <r>
      <t>4</t>
    </r>
    <r>
      <rPr>
        <sz val="8"/>
        <rFont val="Times"/>
        <family val="1"/>
      </rPr>
      <t xml:space="preserve">In addition to the countries listed, Mozambique is known to have steelmaking plants, but available information </t>
    </r>
  </si>
  <si>
    <t>is inadequate to make reliable estimates of output levels.</t>
  </si>
  <si>
    <r>
      <t>5</t>
    </r>
    <r>
      <rPr>
        <sz val="8"/>
        <rFont val="Times"/>
        <family val="1"/>
      </rPr>
      <t>Data for year ending June 30 of that stated.</t>
    </r>
  </si>
  <si>
    <r>
      <t>7</t>
    </r>
    <r>
      <rPr>
        <sz val="8"/>
        <rFont val="Times"/>
        <family val="1"/>
      </rPr>
      <t>Excludes castings.</t>
    </r>
  </si>
  <si>
    <r>
      <t>8</t>
    </r>
    <r>
      <rPr>
        <sz val="8"/>
        <rFont val="Times"/>
        <family val="1"/>
      </rPr>
      <t>Figures reported by the State Statistical Bureau that Chinese Government considers as official statistical data.</t>
    </r>
  </si>
  <si>
    <r>
      <t>9</t>
    </r>
    <r>
      <rPr>
        <sz val="8"/>
        <rFont val="Times"/>
        <family val="1"/>
      </rPr>
      <t xml:space="preserve">Country listed separately, but data is included in “Serbia and Montenegro.” In 2003-05, Montenegro’s steel </t>
    </r>
  </si>
  <si>
    <t xml:space="preserve">production figures, in thousand metric tons, are as follows: 2003—6; 2004—30; and 2005—28. Serbia’s steel  </t>
  </si>
  <si>
    <t>production figures are for 2003–05, in thousand metric tons, as follows: 2003—569; 2004—1,167; and 2005—1,286.</t>
  </si>
  <si>
    <r>
      <t>10</t>
    </r>
    <r>
      <rPr>
        <sz val="8"/>
        <rFont val="Times"/>
        <family val="1"/>
      </rPr>
      <t>Montenegro and Serbia formally declared independence in June 2006 from each other and dissolved their union.</t>
    </r>
  </si>
  <si>
    <r>
      <t>PIG IRON AND DIRECT-REDUCED IRON: WORLD PRODUCTION, BY COUNTRY</t>
    </r>
    <r>
      <rPr>
        <vertAlign val="superscript"/>
        <sz val="8"/>
        <color indexed="8"/>
        <rFont val="Times New Roman"/>
        <family val="1"/>
      </rPr>
      <t>1, 2, 3, 4</t>
    </r>
  </si>
  <si>
    <r>
      <t>Country</t>
    </r>
    <r>
      <rPr>
        <vertAlign val="superscript"/>
        <sz val="8"/>
        <color indexed="8"/>
        <rFont val="Times New Roman"/>
        <family val="1"/>
      </rPr>
      <t>5</t>
    </r>
  </si>
  <si>
    <t>2012</t>
  </si>
  <si>
    <r>
      <t>Burma, pig iron</t>
    </r>
    <r>
      <rPr>
        <vertAlign val="superscript"/>
        <sz val="8"/>
        <color indexed="8"/>
        <rFont val="Times New Roman"/>
        <family val="1"/>
      </rPr>
      <t>e</t>
    </r>
  </si>
  <si>
    <t>p, e</t>
  </si>
  <si>
    <r>
      <t>China</t>
    </r>
    <r>
      <rPr>
        <vertAlign val="superscript"/>
        <sz val="8"/>
        <color indexed="8"/>
        <rFont val="Times New Roman"/>
        <family val="1"/>
      </rPr>
      <t>6</t>
    </r>
  </si>
  <si>
    <r>
      <t>Direct-reduced iron</t>
    </r>
    <r>
      <rPr>
        <vertAlign val="superscript"/>
        <sz val="8"/>
        <color indexed="8"/>
        <rFont val="Times New Roman"/>
        <family val="1"/>
      </rPr>
      <t xml:space="preserve">e </t>
    </r>
  </si>
  <si>
    <r>
      <t>Indonesia, direct-reduced iron</t>
    </r>
    <r>
      <rPr>
        <vertAlign val="superscript"/>
        <sz val="8"/>
        <color indexed="8"/>
        <rFont val="Times New Roman"/>
        <family val="1"/>
      </rPr>
      <t>e</t>
    </r>
  </si>
  <si>
    <r>
      <t>Iran:</t>
    </r>
    <r>
      <rPr>
        <vertAlign val="superscript"/>
        <sz val="8"/>
        <color indexed="8"/>
        <rFont val="Times New Roman"/>
        <family val="1"/>
      </rPr>
      <t>e</t>
    </r>
  </si>
  <si>
    <r>
      <t>Korea, North</t>
    </r>
    <r>
      <rPr>
        <vertAlign val="superscript"/>
        <sz val="8"/>
        <color indexed="8"/>
        <rFont val="Times New Roman"/>
        <family val="1"/>
      </rPr>
      <t>e</t>
    </r>
  </si>
  <si>
    <t>Libya, direct-reduced iron</t>
  </si>
  <si>
    <r>
      <t>Morocco</t>
    </r>
    <r>
      <rPr>
        <vertAlign val="superscript"/>
        <sz val="8"/>
        <color indexed="8"/>
        <rFont val="Times New Roman"/>
        <family val="1"/>
      </rPr>
      <t>e</t>
    </r>
  </si>
  <si>
    <r>
      <t>Netherlands</t>
    </r>
    <r>
      <rPr>
        <vertAlign val="superscript"/>
        <sz val="8"/>
        <color indexed="8"/>
        <rFont val="Times New Roman"/>
        <family val="1"/>
      </rPr>
      <t>7</t>
    </r>
  </si>
  <si>
    <r>
      <t>New Zealand</t>
    </r>
    <r>
      <rPr>
        <vertAlign val="superscript"/>
        <sz val="8"/>
        <color indexed="8"/>
        <rFont val="Times New Roman"/>
        <family val="1"/>
      </rPr>
      <t>e</t>
    </r>
  </si>
  <si>
    <r>
      <t>Norway</t>
    </r>
    <r>
      <rPr>
        <vertAlign val="superscript"/>
        <sz val="8"/>
        <color indexed="8"/>
        <rFont val="Times New Roman"/>
        <family val="1"/>
      </rPr>
      <t>e</t>
    </r>
  </si>
  <si>
    <t>Oman, direct-reduced iron</t>
  </si>
  <si>
    <r>
      <t>Pakistan</t>
    </r>
    <r>
      <rPr>
        <vertAlign val="superscript"/>
        <sz val="8"/>
        <color indexed="8"/>
        <rFont val="Times New Roman"/>
        <family val="1"/>
      </rPr>
      <t>e</t>
    </r>
  </si>
  <si>
    <r>
      <t>Pig iron</t>
    </r>
    <r>
      <rPr>
        <vertAlign val="superscript"/>
        <sz val="8"/>
        <color indexed="8"/>
        <rFont val="Times New Roman"/>
        <family val="1"/>
      </rPr>
      <t>e</t>
    </r>
  </si>
  <si>
    <r>
      <t>Portugal</t>
    </r>
    <r>
      <rPr>
        <vertAlign val="superscript"/>
        <sz val="8"/>
        <color indexed="8"/>
        <rFont val="Times New Roman"/>
        <family val="1"/>
      </rPr>
      <t>e</t>
    </r>
    <r>
      <rPr>
        <sz val="8"/>
        <color indexed="8"/>
        <rFont val="Times New Roman"/>
        <family val="1"/>
      </rPr>
      <t xml:space="preserve"> </t>
    </r>
  </si>
  <si>
    <r>
      <t>Saudi Arabia, direct-reduced iron</t>
    </r>
    <r>
      <rPr>
        <vertAlign val="superscript"/>
        <sz val="8"/>
        <color indexed="8"/>
        <rFont val="Times New Roman"/>
        <family val="1"/>
      </rPr>
      <t>e</t>
    </r>
  </si>
  <si>
    <t>8</t>
  </si>
  <si>
    <r>
      <t>Pig iron</t>
    </r>
    <r>
      <rPr>
        <vertAlign val="superscript"/>
        <sz val="8"/>
        <color indexed="8"/>
        <rFont val="Times New Roman"/>
        <family val="1"/>
      </rPr>
      <t>10</t>
    </r>
  </si>
  <si>
    <r>
      <t>Direct-reduced iron</t>
    </r>
    <r>
      <rPr>
        <vertAlign val="superscript"/>
        <sz val="8"/>
        <color indexed="8"/>
        <rFont val="Times New Roman"/>
        <family val="1"/>
      </rPr>
      <t>11</t>
    </r>
  </si>
  <si>
    <r>
      <t>e</t>
    </r>
    <r>
      <rPr>
        <sz val="8"/>
        <color indexed="8"/>
        <rFont val="Times New Roman"/>
        <family val="1"/>
      </rPr>
      <t xml:space="preserve">Estimated. </t>
    </r>
    <r>
      <rPr>
        <vertAlign val="superscript"/>
        <sz val="8"/>
        <color indexed="8"/>
        <rFont val="Times New Roman"/>
        <family val="1"/>
      </rPr>
      <t>p</t>
    </r>
    <r>
      <rPr>
        <sz val="8"/>
        <color indexed="8"/>
        <rFont val="Times New Roman"/>
        <family val="1"/>
      </rPr>
      <t xml:space="preserve">Preliminary. </t>
    </r>
    <r>
      <rPr>
        <vertAlign val="superscript"/>
        <sz val="8"/>
        <color indexed="8"/>
        <rFont val="Times New Roman"/>
        <family val="1"/>
      </rPr>
      <t>r</t>
    </r>
    <r>
      <rPr>
        <sz val="8"/>
        <color indexed="8"/>
        <rFont val="Times New Roman"/>
        <family val="1"/>
      </rPr>
      <t>Revised. NA Not available. -- Zero.</t>
    </r>
  </si>
  <si>
    <r>
      <t>1</t>
    </r>
    <r>
      <rPr>
        <sz val="8"/>
        <color indexed="8"/>
        <rFont val="Times New Roman"/>
        <family val="1"/>
      </rPr>
      <t xml:space="preserve">World total, U.S. data, and estimated data are rounded to no more than three significant digits; may not add to totals shown. </t>
    </r>
  </si>
  <si>
    <r>
      <t>2</t>
    </r>
    <r>
      <rPr>
        <sz val="8"/>
        <color indexed="8"/>
        <rFont val="Times New Roman"/>
        <family val="1"/>
      </rPr>
      <t>Production is pig iron unless otherwise specified.</t>
    </r>
  </si>
  <si>
    <r>
      <t>3</t>
    </r>
    <r>
      <rPr>
        <sz val="8"/>
        <color indexed="8"/>
        <rFont val="Times New Roman"/>
        <family val="1"/>
      </rPr>
      <t>Direct-reduced iron is obtained from ore by reduction of oxides to metal without melting.</t>
    </r>
  </si>
  <si>
    <r>
      <t>4</t>
    </r>
    <r>
      <rPr>
        <sz val="8"/>
        <color indexed="8"/>
        <rFont val="Times New Roman"/>
        <family val="1"/>
      </rPr>
      <t>Excludes ferroalloy production except where otherwise noted. Includes data available through July 17, 2014.</t>
    </r>
  </si>
  <si>
    <r>
      <t>5</t>
    </r>
    <r>
      <rPr>
        <sz val="8"/>
        <color indexed="8"/>
        <rFont val="Times New Roman"/>
        <family val="1"/>
      </rPr>
      <t xml:space="preserve">In addition to the countries listed, Brazil and Peru had produced direct-reduced iron; and Vietnam may have produced limited </t>
    </r>
  </si>
  <si>
    <t xml:space="preserve">quantities of pig iron during 2008–12, but output is not reported and available information is inadequate to make reliable estimates </t>
  </si>
  <si>
    <t>of output levels.</t>
  </si>
  <si>
    <r>
      <t>6</t>
    </r>
    <r>
      <rPr>
        <sz val="8"/>
        <color indexed="8"/>
        <rFont val="Times New Roman"/>
        <family val="1"/>
      </rPr>
      <t>Figures reported by State Statistical Bureau that the Government of China considers to be official statistical data.</t>
    </r>
  </si>
  <si>
    <r>
      <t>7</t>
    </r>
    <r>
      <rPr>
        <sz val="8"/>
        <color indexed="8"/>
        <rFont val="Times New Roman"/>
        <family val="1"/>
      </rPr>
      <t>Includes blast furnace ferroalloys.</t>
    </r>
  </si>
  <si>
    <r>
      <t>8</t>
    </r>
    <r>
      <rPr>
        <sz val="8"/>
        <color indexed="8"/>
        <rFont val="Times New Roman"/>
        <family val="1"/>
      </rPr>
      <t>Reported figure.</t>
    </r>
  </si>
  <si>
    <r>
      <t>9</t>
    </r>
    <r>
      <rPr>
        <sz val="8"/>
        <rFont val="Times New Roman"/>
        <family val="1"/>
      </rPr>
      <t>Smederevo plant closed July 31, 2012.</t>
    </r>
  </si>
  <si>
    <r>
      <t>10</t>
    </r>
    <r>
      <rPr>
        <sz val="8"/>
        <rFont val="Times New Roman"/>
        <family val="1"/>
      </rPr>
      <t>Includes unspecified pig iron and direct-reduced iron.</t>
    </r>
  </si>
  <si>
    <r>
      <t>11</t>
    </r>
    <r>
      <rPr>
        <sz val="8"/>
        <rFont val="Times New Roman"/>
        <family val="1"/>
      </rPr>
      <t>Listed separately.</t>
    </r>
  </si>
  <si>
    <r>
      <t>RAW STEEL: WORLD PRODUCTION, BY COUNTRY</t>
    </r>
    <r>
      <rPr>
        <vertAlign val="superscript"/>
        <sz val="8"/>
        <rFont val="Times New Roman"/>
        <family val="1"/>
      </rPr>
      <t>1, 2, 3</t>
    </r>
  </si>
  <si>
    <t>Bosnia and Herzegovina, ingot production</t>
  </si>
  <si>
    <r>
      <t>Brazil</t>
    </r>
    <r>
      <rPr>
        <vertAlign val="superscript"/>
        <sz val="8"/>
        <rFont val="Times New Roman"/>
        <family val="1"/>
      </rPr>
      <t>5</t>
    </r>
  </si>
  <si>
    <r>
      <t>Chile</t>
    </r>
    <r>
      <rPr>
        <vertAlign val="superscript"/>
        <sz val="8"/>
        <rFont val="Times New Roman"/>
        <family val="1"/>
      </rPr>
      <t>5</t>
    </r>
  </si>
  <si>
    <r>
      <t>China</t>
    </r>
    <r>
      <rPr>
        <vertAlign val="superscript"/>
        <sz val="8"/>
        <rFont val="Times New Roman"/>
        <family val="1"/>
      </rPr>
      <t>6</t>
    </r>
  </si>
  <si>
    <r>
      <t>Croatia</t>
    </r>
    <r>
      <rPr>
        <vertAlign val="superscript"/>
        <sz val="8"/>
        <rFont val="Times New Roman"/>
        <family val="1"/>
      </rPr>
      <t>e</t>
    </r>
  </si>
  <si>
    <t>7</t>
  </si>
  <si>
    <r>
      <t>Cuba</t>
    </r>
    <r>
      <rPr>
        <vertAlign val="superscript"/>
        <sz val="8"/>
        <rFont val="Times New Roman"/>
        <family val="1"/>
      </rPr>
      <t>e</t>
    </r>
  </si>
  <si>
    <r>
      <t>Ethiopia, all from scrap</t>
    </r>
    <r>
      <rPr>
        <vertAlign val="superscript"/>
        <sz val="8"/>
        <rFont val="Times New Roman"/>
        <family val="1"/>
      </rPr>
      <t>e</t>
    </r>
  </si>
  <si>
    <r>
      <t>Iran</t>
    </r>
    <r>
      <rPr>
        <vertAlign val="superscript"/>
        <sz val="8"/>
        <rFont val="Times New Roman"/>
        <family val="1"/>
      </rPr>
      <t>e</t>
    </r>
  </si>
  <si>
    <r>
      <t>Latvia</t>
    </r>
    <r>
      <rPr>
        <vertAlign val="superscript"/>
        <sz val="8"/>
        <rFont val="Times New Roman"/>
        <family val="1"/>
      </rPr>
      <t>e</t>
    </r>
  </si>
  <si>
    <r>
      <t>Mauritania</t>
    </r>
    <r>
      <rPr>
        <vertAlign val="superscript"/>
        <sz val="8"/>
        <rFont val="Times New Roman"/>
        <family val="1"/>
      </rPr>
      <t>e</t>
    </r>
  </si>
  <si>
    <r>
      <t>Paraguay</t>
    </r>
    <r>
      <rPr>
        <vertAlign val="superscript"/>
        <sz val="8"/>
        <rFont val="Times New Roman"/>
        <family val="1"/>
      </rPr>
      <t>e</t>
    </r>
  </si>
  <si>
    <r>
      <t>Peru</t>
    </r>
    <r>
      <rPr>
        <vertAlign val="superscript"/>
        <sz val="8"/>
        <rFont val="Times New Roman"/>
        <family val="1"/>
      </rPr>
      <t>e</t>
    </r>
  </si>
  <si>
    <t>Sri Lanka</t>
  </si>
  <si>
    <t>Syria</t>
  </si>
  <si>
    <r>
      <t>United Arab Emirates</t>
    </r>
    <r>
      <rPr>
        <vertAlign val="superscript"/>
        <sz val="8"/>
        <rFont val="Times New Roman"/>
        <family val="1"/>
      </rPr>
      <t>e</t>
    </r>
  </si>
  <si>
    <r>
      <t>Vietnam</t>
    </r>
    <r>
      <rPr>
        <vertAlign val="superscript"/>
        <sz val="8"/>
        <rFont val="Times New Roman"/>
        <family val="1"/>
      </rPr>
      <t>e</t>
    </r>
  </si>
  <si>
    <r>
      <t>e</t>
    </r>
    <r>
      <rPr>
        <sz val="8"/>
        <rFont val="Times New Roman"/>
        <family val="1"/>
      </rPr>
      <t xml:space="preserve">Estimated. </t>
    </r>
    <r>
      <rPr>
        <vertAlign val="superscript"/>
        <sz val="8"/>
        <rFont val="Times New Roman"/>
        <family val="1"/>
      </rPr>
      <t>p</t>
    </r>
    <r>
      <rPr>
        <sz val="8"/>
        <rFont val="Times New Roman"/>
        <family val="1"/>
      </rPr>
      <t xml:space="preserve">Preliminary. </t>
    </r>
    <r>
      <rPr>
        <vertAlign val="superscript"/>
        <sz val="8"/>
        <rFont val="Times New Roman"/>
        <family val="1"/>
      </rPr>
      <t>r</t>
    </r>
    <r>
      <rPr>
        <sz val="8"/>
        <rFont val="Times New Roman"/>
        <family val="1"/>
      </rPr>
      <t>Revised. NA Not available. -- Zero.</t>
    </r>
  </si>
  <si>
    <r>
      <t>1</t>
    </r>
    <r>
      <rPr>
        <sz val="8"/>
        <rFont val="Times New Roman"/>
        <family val="1"/>
      </rPr>
      <t>World total, U.S. data, and estimated data are rounded to no more than three significant digits; may not add to totals shown.</t>
    </r>
  </si>
  <si>
    <r>
      <t>2</t>
    </r>
    <r>
      <rPr>
        <sz val="8"/>
        <rFont val="Times New Roman"/>
        <family val="1"/>
      </rPr>
      <t>Steel formed in solid state after melting, suitable for further processing or sale; for some countries, includes material reported as</t>
    </r>
  </si>
  <si>
    <t>“liquid steel,” presumably measured in the molten state prior to cooling in any specific form.</t>
  </si>
  <si>
    <r>
      <t>3</t>
    </r>
    <r>
      <rPr>
        <sz val="8"/>
        <rFont val="Times New Roman"/>
        <family val="1"/>
      </rPr>
      <t>Includes data available through July 17, 2014.</t>
    </r>
  </si>
  <si>
    <r>
      <t>4</t>
    </r>
    <r>
      <rPr>
        <sz val="8"/>
        <rFont val="Times New Roman"/>
        <family val="1"/>
      </rPr>
      <t>In addition to the countries listed, Mozambique and Sri Lanka are known to have steelmaking plants, but available information is</t>
    </r>
  </si>
  <si>
    <t>inadequate to make reliable estimates of output levels.</t>
  </si>
  <si>
    <r>
      <t>5</t>
    </r>
    <r>
      <rPr>
        <sz val="8"/>
        <rFont val="Times New Roman"/>
        <family val="1"/>
      </rPr>
      <t>Excludes castings.</t>
    </r>
  </si>
  <si>
    <r>
      <t>6</t>
    </r>
    <r>
      <rPr>
        <sz val="8"/>
        <rFont val="Times New Roman"/>
        <family val="1"/>
      </rPr>
      <t>Figures reported by the State Statistical Bureau that the Government of China considers as official statistical data.</t>
    </r>
  </si>
  <si>
    <r>
      <t>7</t>
    </r>
    <r>
      <rPr>
        <sz val="8"/>
        <rFont val="Times New Roman"/>
        <family val="1"/>
      </rPr>
      <t>Reported figure.</t>
    </r>
  </si>
  <si>
    <r>
      <t>8</t>
    </r>
    <r>
      <rPr>
        <sz val="8"/>
        <rFont val="Times New Roman"/>
        <family val="1"/>
      </rPr>
      <t>Smederevo plant closed July 31, 2012.</t>
    </r>
  </si>
  <si>
    <r>
      <t>PIG IRON AND DIRECT-REDUCED IRON: WORLD PRODUCTION, BY COUNTRY OR LOCALITY</t>
    </r>
    <r>
      <rPr>
        <vertAlign val="superscript"/>
        <sz val="8"/>
        <color indexed="8"/>
        <rFont val="Times New Roman"/>
        <family val="1"/>
      </rPr>
      <t xml:space="preserve">1 </t>
    </r>
  </si>
  <si>
    <t>(Thousand metric tons, gross weight)</t>
  </si>
  <si>
    <t>Algeria, pig iron</t>
  </si>
  <si>
    <t>Australia, pig iron</t>
  </si>
  <si>
    <t>Austria, pig iron</t>
  </si>
  <si>
    <t>Bahrain, pig iron</t>
  </si>
  <si>
    <t>Belgium, pig iron</t>
  </si>
  <si>
    <t>Bosnia and Herzegovina, pig iron</t>
  </si>
  <si>
    <t>Brazil, pig iron</t>
  </si>
  <si>
    <t>Chile, pig iron</t>
  </si>
  <si>
    <r>
      <t>China, pig iron</t>
    </r>
    <r>
      <rPr>
        <vertAlign val="superscript"/>
        <sz val="8"/>
        <color indexed="8"/>
        <rFont val="Times New Roman"/>
        <family val="1"/>
      </rPr>
      <t>2</t>
    </r>
  </si>
  <si>
    <t>Colombia, pig iron</t>
  </si>
  <si>
    <t>Czechia, pig iron</t>
  </si>
  <si>
    <t>Finland, pig iron</t>
  </si>
  <si>
    <t>France, pig iron</t>
  </si>
  <si>
    <t>Hungary, pig iron</t>
  </si>
  <si>
    <t>Indonesia, pig iron</t>
  </si>
  <si>
    <t>Italy, pig iron</t>
  </si>
  <si>
    <t>Japan, pig iron</t>
  </si>
  <si>
    <t>Kazakhstan, pig iron</t>
  </si>
  <si>
    <r>
      <t>Korea, North, pig iron</t>
    </r>
    <r>
      <rPr>
        <vertAlign val="superscript"/>
        <sz val="8"/>
        <color indexed="8"/>
        <rFont val="Times New Roman"/>
        <family val="1"/>
      </rPr>
      <t>e</t>
    </r>
  </si>
  <si>
    <t>Korea, Republic of, pig iron</t>
  </si>
  <si>
    <r>
      <t>Netherlands, pig iron</t>
    </r>
    <r>
      <rPr>
        <vertAlign val="superscript"/>
        <sz val="8"/>
        <color indexed="8"/>
        <rFont val="Times New Roman"/>
        <family val="1"/>
      </rPr>
      <t>3</t>
    </r>
  </si>
  <si>
    <t>New Zealand, pig iron</t>
  </si>
  <si>
    <t>Norway, pig iron</t>
  </si>
  <si>
    <t>Pakistan, pig iron</t>
  </si>
  <si>
    <t>Paraguay, pig iron</t>
  </si>
  <si>
    <t>Peru, direct-reduced iron</t>
  </si>
  <si>
    <t>Poland, pig iron</t>
  </si>
  <si>
    <t>Qatar, direct-reduced iron</t>
  </si>
  <si>
    <t>Romania, pig iron</t>
  </si>
  <si>
    <t>Serbia, pig iron</t>
  </si>
  <si>
    <t>Slovakia, pig iron</t>
  </si>
  <si>
    <t>Spain, pig iron</t>
  </si>
  <si>
    <t>Sweden, pig iron</t>
  </si>
  <si>
    <t>Taiwan, pig iron</t>
  </si>
  <si>
    <t>Turkey, pig iron</t>
  </si>
  <si>
    <t>Ukraine, pig iron</t>
  </si>
  <si>
    <t>United Arab Emirates, direct-reduced iron</t>
  </si>
  <si>
    <t>United Kingdom, pig iron</t>
  </si>
  <si>
    <t>Vietnam, pig iron</t>
  </si>
  <si>
    <t> Total</t>
  </si>
  <si>
    <r>
      <t>e</t>
    </r>
    <r>
      <rPr>
        <sz val="8"/>
        <color indexed="8"/>
        <rFont val="Times New Roman"/>
        <family val="1"/>
      </rPr>
      <t xml:space="preserve">Estimated.  </t>
    </r>
    <r>
      <rPr>
        <vertAlign val="superscript"/>
        <sz val="8"/>
        <color indexed="8"/>
        <rFont val="Times New Roman"/>
        <family val="1"/>
      </rPr>
      <t>r</t>
    </r>
    <r>
      <rPr>
        <sz val="8"/>
        <color indexed="8"/>
        <rFont val="Times New Roman"/>
        <family val="1"/>
      </rPr>
      <t>Revised.  -- Zero.</t>
    </r>
  </si>
  <si>
    <r>
      <t>1</t>
    </r>
    <r>
      <rPr>
        <sz val="8"/>
        <color indexed="8"/>
        <rFont val="Times New Roman"/>
        <family val="1"/>
      </rPr>
      <t>Table includes data available through September 13, 2018. All data are reported unless otherwise noted. Totals and estimated data are rounded to no more than three significant digits; may not add to totals shown.</t>
    </r>
  </si>
  <si>
    <r>
      <t>2</t>
    </r>
    <r>
      <rPr>
        <sz val="8"/>
        <color indexed="8"/>
        <rFont val="Times New Roman"/>
        <family val="1"/>
      </rPr>
      <t>Data reported by State Statistical Bureau and are considered by the Government of China to be official statistics.</t>
    </r>
  </si>
  <si>
    <r>
      <t>3</t>
    </r>
    <r>
      <rPr>
        <sz val="8"/>
        <color indexed="8"/>
        <rFont val="Times New Roman"/>
        <family val="1"/>
      </rPr>
      <t>Includes blast furnace ferroalloys.</t>
    </r>
  </si>
  <si>
    <r>
      <t>RAW STEEL: WORLD PRODUCTION, BY COUNTRY OR LOCALITY</t>
    </r>
    <r>
      <rPr>
        <vertAlign val="superscript"/>
        <sz val="8"/>
        <color indexed="8"/>
        <rFont val="Times New Roman"/>
        <family val="1"/>
      </rPr>
      <t>1, 2</t>
    </r>
  </si>
  <si>
    <t>(Thousand metric tons, gross weight unless otherwise specified)</t>
  </si>
  <si>
    <r>
      <t>Country or locality</t>
    </r>
    <r>
      <rPr>
        <vertAlign val="superscript"/>
        <sz val="8"/>
        <color indexed="8"/>
        <rFont val="Times New Roman"/>
        <family val="1"/>
      </rPr>
      <t>3</t>
    </r>
  </si>
  <si>
    <t>Afghanistan</t>
  </si>
  <si>
    <t/>
  </si>
  <si>
    <r>
      <t>Bahrain</t>
    </r>
    <r>
      <rPr>
        <vertAlign val="superscript"/>
        <sz val="8"/>
        <color indexed="8"/>
        <rFont val="Times New Roman"/>
        <family val="1"/>
      </rPr>
      <t>e</t>
    </r>
  </si>
  <si>
    <r>
      <t>Brazil</t>
    </r>
    <r>
      <rPr>
        <vertAlign val="superscript"/>
        <sz val="8"/>
        <color indexed="8"/>
        <rFont val="Times New Roman"/>
        <family val="1"/>
      </rPr>
      <t>4</t>
    </r>
  </si>
  <si>
    <r>
      <t>Chile</t>
    </r>
    <r>
      <rPr>
        <vertAlign val="superscript"/>
        <sz val="8"/>
        <color indexed="8"/>
        <rFont val="Times New Roman"/>
        <family val="1"/>
      </rPr>
      <t>4</t>
    </r>
  </si>
  <si>
    <r>
      <t>China</t>
    </r>
    <r>
      <rPr>
        <vertAlign val="superscript"/>
        <sz val="8"/>
        <color indexed="8"/>
        <rFont val="Times New Roman"/>
        <family val="1"/>
      </rPr>
      <t>5</t>
    </r>
  </si>
  <si>
    <t>Czechia</t>
  </si>
  <si>
    <r>
      <t>Ethiopia</t>
    </r>
    <r>
      <rPr>
        <vertAlign val="superscript"/>
        <sz val="8"/>
        <color indexed="8"/>
        <rFont val="Times New Roman"/>
        <family val="1"/>
      </rPr>
      <t>e</t>
    </r>
  </si>
  <si>
    <r>
      <t>Israel</t>
    </r>
    <r>
      <rPr>
        <vertAlign val="superscript"/>
        <sz val="8"/>
        <color indexed="8"/>
        <rFont val="Times New Roman"/>
        <family val="1"/>
      </rPr>
      <t>e</t>
    </r>
  </si>
  <si>
    <r>
      <t>Mauritania</t>
    </r>
    <r>
      <rPr>
        <vertAlign val="superscript"/>
        <sz val="8"/>
        <color indexed="8"/>
        <rFont val="Times New Roman"/>
        <family val="1"/>
      </rPr>
      <t>e</t>
    </r>
  </si>
  <si>
    <r>
      <t>Mongolia</t>
    </r>
    <r>
      <rPr>
        <vertAlign val="superscript"/>
        <sz val="8"/>
        <color indexed="8"/>
        <rFont val="Times New Roman"/>
        <family val="1"/>
      </rPr>
      <t>e</t>
    </r>
  </si>
  <si>
    <r>
      <t>Nigeria</t>
    </r>
    <r>
      <rPr>
        <vertAlign val="superscript"/>
        <sz val="8"/>
        <color indexed="8"/>
        <rFont val="Times New Roman"/>
        <family val="1"/>
      </rPr>
      <t>e</t>
    </r>
  </si>
  <si>
    <r>
      <t>Oman</t>
    </r>
    <r>
      <rPr>
        <vertAlign val="superscript"/>
        <sz val="8"/>
        <color indexed="8"/>
        <rFont val="Times New Roman"/>
        <family val="1"/>
      </rPr>
      <t>e</t>
    </r>
  </si>
  <si>
    <t xml:space="preserve">See footnotes at end of table. </t>
  </si>
  <si>
    <r>
      <t>Rwanda</t>
    </r>
    <r>
      <rPr>
        <vertAlign val="superscript"/>
        <sz val="8"/>
        <color indexed="8"/>
        <rFont val="Times New Roman"/>
        <family val="1"/>
      </rPr>
      <t>e</t>
    </r>
  </si>
  <si>
    <t>Singapore</t>
  </si>
  <si>
    <r>
      <t>Tanzania</t>
    </r>
    <r>
      <rPr>
        <vertAlign val="superscript"/>
        <sz val="8"/>
        <color indexed="8"/>
        <rFont val="Times New Roman"/>
        <family val="1"/>
      </rPr>
      <t>e</t>
    </r>
  </si>
  <si>
    <r>
      <t>Uganda</t>
    </r>
    <r>
      <rPr>
        <vertAlign val="superscript"/>
        <sz val="8"/>
        <color indexed="8"/>
        <rFont val="Times New Roman"/>
        <family val="1"/>
      </rPr>
      <t>e</t>
    </r>
  </si>
  <si>
    <t>United Arab Emirates</t>
  </si>
  <si>
    <t>Zambia</t>
  </si>
  <si>
    <r>
      <t>1</t>
    </r>
    <r>
      <rPr>
        <sz val="8"/>
        <color indexed="8"/>
        <rFont val="Times New Roman"/>
        <family val="1"/>
      </rPr>
      <t>Table includes data available through September 5, 2018. All data are reported unless otherwise noted. Totals, U.S. data, and estimated data are rounded to no more than three significant digits; may not add to totals shown.</t>
    </r>
  </si>
  <si>
    <r>
      <t>2</t>
    </r>
    <r>
      <rPr>
        <sz val="8"/>
        <color indexed="8"/>
        <rFont val="Times New Roman"/>
        <family val="1"/>
      </rPr>
      <t>Steel formed in solid state after melting, suitable for further processing or sale; for some countries, includes material reported as liquid steel, presumably measured in the molten state prior to cooling in any specific form.</t>
    </r>
  </si>
  <si>
    <r>
      <t>3</t>
    </r>
    <r>
      <rPr>
        <sz val="8"/>
        <color indexed="8"/>
        <rFont val="Times New Roman"/>
        <family val="1"/>
      </rPr>
      <t>In addition to the countries and (or) localities listed, Hong Kong, Mozambique, and Sri Lanka may have produced steel, but available information was inadequate to make reliable estimates of output.</t>
    </r>
  </si>
  <si>
    <r>
      <t>4</t>
    </r>
    <r>
      <rPr>
        <sz val="8"/>
        <color indexed="8"/>
        <rFont val="Times New Roman"/>
        <family val="1"/>
      </rPr>
      <t>Does not include castings.</t>
    </r>
  </si>
  <si>
    <r>
      <t>5</t>
    </r>
    <r>
      <rPr>
        <sz val="8"/>
        <color indexed="8"/>
        <rFont val="Times New Roman"/>
        <family val="1"/>
      </rPr>
      <t xml:space="preserve">Data reported by the State Statistical Bureau and are considered by the Government of China to be 
official statistics. </t>
    </r>
  </si>
  <si>
    <r>
      <t>PIG AND DIRECT-REDUCED IRON: WORLD PRODUCTION, BY COUNTRY OR LOCALITY</t>
    </r>
    <r>
      <rPr>
        <vertAlign val="superscript"/>
        <sz val="8"/>
        <color theme="1"/>
        <rFont val="Times New Roman"/>
        <family val="1"/>
      </rPr>
      <t>1, 2</t>
    </r>
  </si>
  <si>
    <r>
      <t>Country or locality</t>
    </r>
    <r>
      <rPr>
        <vertAlign val="superscript"/>
        <sz val="8"/>
        <color theme="1"/>
        <rFont val="Times New Roman"/>
        <family val="1"/>
      </rPr>
      <t>3</t>
    </r>
  </si>
  <si>
    <t>2022</t>
  </si>
  <si>
    <r>
      <t>Pig iron</t>
    </r>
    <r>
      <rPr>
        <vertAlign val="superscript"/>
        <sz val="8"/>
        <color theme="1"/>
        <rFont val="Times New Roman"/>
        <family val="1"/>
      </rPr>
      <t>e</t>
    </r>
  </si>
  <si>
    <t>Bahrain, direct-reduced iron</t>
  </si>
  <si>
    <t>China, pig iron</t>
  </si>
  <si>
    <r>
      <t>Korea, North, pig iron</t>
    </r>
    <r>
      <rPr>
        <vertAlign val="superscript"/>
        <sz val="8"/>
        <color theme="1"/>
        <rFont val="Times New Roman"/>
        <family val="1"/>
      </rPr>
      <t>e</t>
    </r>
  </si>
  <si>
    <t>Netherlands, pig iron</t>
  </si>
  <si>
    <t> Grand total</t>
  </si>
  <si>
    <r>
      <rPr>
        <vertAlign val="superscript"/>
        <sz val="8"/>
        <color theme="1"/>
        <rFont val="Times New Roman"/>
        <family val="1"/>
      </rP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</si>
  <si>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rPr>
        <vertAlign val="superscript"/>
        <sz val="8"/>
        <color theme="1"/>
        <rFont val="Times New Roman"/>
        <family val="1"/>
      </rPr>
      <t>1</t>
    </r>
    <r>
      <rPr>
        <sz val="8"/>
        <color theme="1"/>
        <rFont val="Times New Roman"/>
        <family val="1"/>
      </rPr>
      <t>Table includes data available through September 29, 2023. All data are reported unless otherwise noted; totals may include estimated data. Grand totals, U.S data, and estimated data are rounded to no more than three significant digits; may not add to totals shown.</t>
    </r>
  </si>
  <si>
    <r>
      <rPr>
        <vertAlign val="superscript"/>
        <sz val="8"/>
        <color theme="1"/>
        <rFont val="Times New Roman"/>
        <family val="1"/>
      </rPr>
      <t>2</t>
    </r>
    <r>
      <rPr>
        <sz val="8"/>
        <color theme="1"/>
        <rFont val="Times New Roman"/>
        <family val="1"/>
      </rPr>
      <t>Production of pig iron is obtained from virgin iron ore and scrap smelted in a blast furnace for use in steel production. Direct-reduced iron is obtained from ore by reduction of oxides to metal without melting.</t>
    </r>
  </si>
  <si>
    <r>
      <rPr>
        <vertAlign val="superscript"/>
        <sz val="8"/>
        <color theme="1"/>
        <rFont val="Times New Roman"/>
        <family val="1"/>
      </rPr>
      <t>3</t>
    </r>
    <r>
      <rPr>
        <sz val="8"/>
        <color theme="1"/>
        <rFont val="Times New Roman"/>
        <family val="1"/>
      </rPr>
      <t>In addition to the countries and (or) localities listed, other countries may have produced limited quantities of pig iron, but available information was inadequate to make reliable estimates of output.</t>
    </r>
  </si>
  <si>
    <r>
      <t>RAW STEEL: WORLD PRODUCTION BY COUNTRY OR LOCALITY</t>
    </r>
    <r>
      <rPr>
        <vertAlign val="superscript"/>
        <sz val="8"/>
        <color theme="1"/>
        <rFont val="Times New Roman"/>
        <family val="1"/>
      </rPr>
      <t>1, 2</t>
    </r>
  </si>
  <si>
    <r>
      <t>Afghanistan</t>
    </r>
    <r>
      <rPr>
        <vertAlign val="superscript"/>
        <sz val="8"/>
        <color theme="1"/>
        <rFont val="Times New Roman"/>
        <family val="1"/>
      </rPr>
      <t>e</t>
    </r>
  </si>
  <si>
    <r>
      <t>Bangladesh</t>
    </r>
    <r>
      <rPr>
        <vertAlign val="superscript"/>
        <sz val="8"/>
        <color theme="1"/>
        <rFont val="Times New Roman"/>
        <family val="1"/>
      </rPr>
      <t>e</t>
    </r>
  </si>
  <si>
    <r>
      <t>Burma</t>
    </r>
    <r>
      <rPr>
        <vertAlign val="superscript"/>
        <sz val="8"/>
        <color theme="1"/>
        <rFont val="Times New Roman"/>
        <family val="1"/>
      </rPr>
      <t>e</t>
    </r>
  </si>
  <si>
    <r>
      <t>Jordan</t>
    </r>
    <r>
      <rPr>
        <vertAlign val="superscript"/>
        <sz val="8"/>
        <color theme="1"/>
        <rFont val="Times New Roman"/>
        <family val="1"/>
      </rPr>
      <t>e</t>
    </r>
  </si>
  <si>
    <r>
      <t>Kenya</t>
    </r>
    <r>
      <rPr>
        <vertAlign val="superscript"/>
        <sz val="8"/>
        <color theme="1"/>
        <rFont val="Times New Roman"/>
        <family val="1"/>
      </rPr>
      <t>e</t>
    </r>
  </si>
  <si>
    <r>
      <t>Mauritania</t>
    </r>
    <r>
      <rPr>
        <vertAlign val="superscript"/>
        <sz val="8"/>
        <color theme="1"/>
        <rFont val="Times New Roman"/>
        <family val="1"/>
      </rPr>
      <t>e</t>
    </r>
  </si>
  <si>
    <r>
      <t>Montenegro</t>
    </r>
    <r>
      <rPr>
        <vertAlign val="superscript"/>
        <sz val="8"/>
        <color theme="1"/>
        <rFont val="Times New Roman"/>
        <family val="1"/>
      </rPr>
      <t>e</t>
    </r>
  </si>
  <si>
    <r>
      <t>Nigeria</t>
    </r>
    <r>
      <rPr>
        <vertAlign val="superscript"/>
        <sz val="8"/>
        <color theme="1"/>
        <rFont val="Times New Roman"/>
        <family val="1"/>
      </rPr>
      <t>e</t>
    </r>
  </si>
  <si>
    <t>North Macedonia</t>
  </si>
  <si>
    <r>
      <t>Oman</t>
    </r>
    <r>
      <rPr>
        <vertAlign val="superscript"/>
        <sz val="8"/>
        <color theme="1"/>
        <rFont val="Times New Roman"/>
        <family val="1"/>
      </rPr>
      <t>e</t>
    </r>
  </si>
  <si>
    <r>
      <t>Rwanda</t>
    </r>
    <r>
      <rPr>
        <vertAlign val="superscript"/>
        <sz val="8"/>
        <color theme="1"/>
        <rFont val="Times New Roman"/>
        <family val="1"/>
      </rPr>
      <t>e</t>
    </r>
  </si>
  <si>
    <r>
      <t>Tanzania</t>
    </r>
    <r>
      <rPr>
        <vertAlign val="superscript"/>
        <sz val="8"/>
        <color theme="1"/>
        <rFont val="Times New Roman"/>
        <family val="1"/>
      </rPr>
      <t>e</t>
    </r>
  </si>
  <si>
    <r>
      <t>Zambia</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</si>
  <si>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</si>
  <si>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1</t>
    </r>
    <r>
      <rPr>
        <sz val="8"/>
        <color theme="1"/>
        <rFont val="Times New Roman"/>
        <family val="1"/>
      </rPr>
      <t>Table includes data available through September 29, 2023. All data are reported unless otherwise noted; totals may include estimated data. Totals, U.S. data, and estimated data are rounded to no more than three significant digits; may not add to totals shown.</t>
    </r>
  </si>
  <si>
    <r>
      <t>2</t>
    </r>
    <r>
      <rPr>
        <sz val="8"/>
        <color theme="1"/>
        <rFont val="Times New Roman"/>
        <family val="1"/>
      </rPr>
      <t>Steel formed in solid state after melting, suitable for further processing or sale; for some countries and (or) localities, includes material reported as "liquid steel" presumably measured in the molten state prior to cooling in any specific form.</t>
    </r>
  </si>
  <si>
    <r>
      <t>3</t>
    </r>
    <r>
      <rPr>
        <sz val="8"/>
        <color theme="1"/>
        <rFont val="Times New Roman"/>
        <family val="1"/>
      </rPr>
      <t>In addition to the countries and (or) localities listed, Hong Kong, Mozambique, and Sri Lanka may have produced steel, but available information was inadequate to make reliable estimates of output.</t>
    </r>
  </si>
  <si>
    <r>
      <t>4</t>
    </r>
    <r>
      <rPr>
        <sz val="8"/>
        <color theme="1"/>
        <rFont val="Times New Roman"/>
        <family val="1"/>
      </rPr>
      <t>Figures reported by the State Statistical Bureau that the Government of China considers as official statistical data.</t>
    </r>
  </si>
  <si>
    <t>TABLE 16</t>
  </si>
  <si>
    <r>
      <t xml:space="preserve">IRON ORE:  WORLD PRODUCTION, BY COUNTRY </t>
    </r>
    <r>
      <rPr>
        <vertAlign val="superscript"/>
        <sz val="8"/>
        <rFont val="Times New Roman"/>
        <family val="1"/>
      </rPr>
      <t>1</t>
    </r>
  </si>
  <si>
    <r>
      <t>Gross weight</t>
    </r>
    <r>
      <rPr>
        <vertAlign val="superscript"/>
        <sz val="8"/>
        <rFont val="Times New Roman"/>
        <family val="1"/>
      </rPr>
      <t>2</t>
    </r>
  </si>
  <si>
    <r>
      <t>Metal content</t>
    </r>
    <r>
      <rPr>
        <vertAlign val="superscript"/>
        <sz val="8"/>
        <rFont val="Times New Roman"/>
        <family val="1"/>
      </rPr>
      <t>3</t>
    </r>
  </si>
  <si>
    <r>
      <t>Azerbaijan</t>
    </r>
    <r>
      <rPr>
        <vertAlign val="superscript"/>
        <sz val="8"/>
        <rFont val="Times New Roman"/>
        <family val="1"/>
      </rPr>
      <t>e</t>
    </r>
  </si>
  <si>
    <r>
      <t>Canada</t>
    </r>
    <r>
      <rPr>
        <vertAlign val="superscript"/>
        <sz val="8"/>
        <rFont val="Times New Roman"/>
        <family val="1"/>
      </rPr>
      <t>6</t>
    </r>
  </si>
  <si>
    <r>
      <t>China</t>
    </r>
    <r>
      <rPr>
        <vertAlign val="superscript"/>
        <sz val="8"/>
        <rFont val="Times New Roman"/>
        <family val="1"/>
      </rPr>
      <t>e, 7</t>
    </r>
  </si>
  <si>
    <r>
      <t>France</t>
    </r>
    <r>
      <rPr>
        <vertAlign val="superscript"/>
        <sz val="8"/>
        <rFont val="Times New Roman"/>
        <family val="1"/>
      </rPr>
      <t>e</t>
    </r>
  </si>
  <si>
    <r>
      <t>Greece</t>
    </r>
    <r>
      <rPr>
        <vertAlign val="superscript"/>
        <sz val="8"/>
        <rFont val="Times New Roman"/>
        <family val="1"/>
      </rPr>
      <t>e, 8</t>
    </r>
  </si>
  <si>
    <r>
      <t>Iran</t>
    </r>
    <r>
      <rPr>
        <vertAlign val="superscript"/>
        <sz val="8"/>
        <rFont val="Times New Roman"/>
        <family val="1"/>
      </rPr>
      <t>9</t>
    </r>
  </si>
  <si>
    <r>
      <t>Macedonia</t>
    </r>
    <r>
      <rPr>
        <vertAlign val="superscript"/>
        <sz val="8"/>
        <rFont val="Times New Roman"/>
        <family val="1"/>
      </rPr>
      <t>e</t>
    </r>
  </si>
  <si>
    <r>
      <t>Mexico</t>
    </r>
    <r>
      <rPr>
        <vertAlign val="superscript"/>
        <sz val="8"/>
        <rFont val="Times New Roman"/>
        <family val="1"/>
      </rPr>
      <t>11</t>
    </r>
  </si>
  <si>
    <r>
      <t>New Zealand</t>
    </r>
    <r>
      <rPr>
        <vertAlign val="superscript"/>
        <sz val="8"/>
        <rFont val="Times New Roman"/>
        <family val="1"/>
      </rPr>
      <t>12</t>
    </r>
  </si>
  <si>
    <r>
      <t>Portugal</t>
    </r>
    <r>
      <rPr>
        <vertAlign val="superscript"/>
        <sz val="8"/>
        <rFont val="Times New Roman"/>
        <family val="1"/>
      </rPr>
      <t>13</t>
    </r>
  </si>
  <si>
    <r>
      <t>Romania</t>
    </r>
    <r>
      <rPr>
        <vertAlign val="superscript"/>
        <sz val="8"/>
        <rFont val="Times New Roman"/>
        <family val="1"/>
      </rPr>
      <t>e</t>
    </r>
  </si>
  <si>
    <r>
      <t>Serbia and Montenegro</t>
    </r>
    <r>
      <rPr>
        <vertAlign val="superscript"/>
        <sz val="8"/>
        <rFont val="Times New Roman"/>
        <family val="1"/>
      </rPr>
      <t>e</t>
    </r>
  </si>
  <si>
    <r>
      <t>South Africa</t>
    </r>
    <r>
      <rPr>
        <vertAlign val="superscript"/>
        <sz val="8"/>
        <rFont val="Times New Roman"/>
        <family val="1"/>
      </rPr>
      <t>14</t>
    </r>
  </si>
  <si>
    <t>Country</t>
  </si>
  <si>
    <t>Nepal</t>
  </si>
  <si>
    <t>Swaziland</t>
  </si>
  <si>
    <t>Togo</t>
  </si>
  <si>
    <t>Republic of the Congo</t>
  </si>
  <si>
    <t>Angola</t>
  </si>
  <si>
    <t>Bangladesh</t>
  </si>
  <si>
    <t>Burma</t>
  </si>
  <si>
    <t>Hong Kong</t>
  </si>
  <si>
    <t>Iraq</t>
  </si>
  <si>
    <t>Ethiopia</t>
  </si>
  <si>
    <t>Israel</t>
  </si>
  <si>
    <t>Jordan</t>
  </si>
  <si>
    <t>Bahrain</t>
  </si>
  <si>
    <t>Oman</t>
  </si>
  <si>
    <t>Rwanda</t>
  </si>
  <si>
    <t>Tanzania</t>
  </si>
  <si>
    <t>Viet Nam</t>
  </si>
  <si>
    <t>Ghana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</si>
</sst>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0.00E+00_)"/>
    <numFmt numFmtId="165" formatCode="_(* #,##0_);_(* \(#,##0\);_(* &quot;-&quot;??_);_(@_)"/>
  </numFmts>
  <fonts count="36">
    <font>
      <sz val="12"/>
      <color theme="1"/>
      <name val="Aptos Narrow"/>
      <family val="2"/>
      <scheme val="minor"/>
    </font>
    <font>
      <sz val="12"/>
      <color theme="1"/>
      <name val="Aptos Narrow"/>
      <family val="2"/>
      <scheme val="minor"/>
    </font>
    <font>
      <sz val="12"/>
      <name val="Arial"/>
      <family val="2"/>
    </font>
    <font>
      <sz val="8"/>
      <name val="Times New Roman"/>
      <family val="1"/>
    </font>
    <font>
      <vertAlign val="superscript"/>
      <sz val="8"/>
      <name val="Times New Roman"/>
      <family val="1"/>
    </font>
    <font>
      <sz val="11"/>
      <color theme="1"/>
      <name val="Aptos Narrow"/>
      <family val="2"/>
      <scheme val="minor"/>
    </font>
    <font>
      <sz val="11"/>
      <name val="Times New Roman"/>
      <family val="1"/>
    </font>
    <font>
      <vertAlign val="superscript"/>
      <sz val="11"/>
      <name val="Times New Roman"/>
      <family val="1"/>
    </font>
    <font>
      <sz val="12"/>
      <name val="Times New Roman"/>
      <family val="1"/>
    </font>
    <font>
      <sz val="8"/>
      <name val="Times"/>
      <family val="1"/>
    </font>
    <font>
      <vertAlign val="superscript"/>
      <sz val="8"/>
      <name val="Times"/>
      <family val="1"/>
    </font>
    <font>
      <sz val="6"/>
      <name val="Times"/>
      <family val="1"/>
    </font>
    <font>
      <sz val="6"/>
      <name val="Times New Roman"/>
      <family val="1"/>
    </font>
    <font>
      <sz val="10"/>
      <name val="Times"/>
      <family val="1"/>
    </font>
    <font>
      <sz val="11"/>
      <name val="Times"/>
      <family val="1"/>
    </font>
    <font>
      <vertAlign val="superscript"/>
      <sz val="11"/>
      <name val="Times"/>
      <family val="1"/>
    </font>
    <font>
      <sz val="8"/>
      <name val="Times"/>
    </font>
    <font>
      <sz val="11"/>
      <color rgb="FF000000"/>
      <name val="Times New Roman"/>
      <family val="1"/>
    </font>
    <font>
      <vertAlign val="superscript"/>
      <sz val="11"/>
      <color rgb="FF000000"/>
      <name val="Times New Roman"/>
      <family val="1"/>
    </font>
    <font>
      <sz val="10"/>
      <name val="Arial"/>
      <family val="2"/>
    </font>
    <font>
      <sz val="8"/>
      <name val="Arial"/>
      <family val="2"/>
    </font>
    <font>
      <b/>
      <sz val="8"/>
      <name val="Times New Roman"/>
      <family val="1"/>
    </font>
    <font>
      <sz val="8"/>
      <color indexed="8"/>
      <name val="times"/>
    </font>
    <font>
      <vertAlign val="superscript"/>
      <sz val="8"/>
      <color indexed="8"/>
      <name val="times"/>
    </font>
    <font>
      <sz val="8"/>
      <color indexed="12"/>
      <name val="Times"/>
    </font>
    <font>
      <vertAlign val="superscript"/>
      <sz val="8"/>
      <name val="Times"/>
    </font>
    <font>
      <vertAlign val="superscript"/>
      <sz val="8"/>
      <color indexed="8"/>
      <name val="Times"/>
      <family val="1"/>
    </font>
    <font>
      <sz val="8"/>
      <color indexed="8"/>
      <name val="Times"/>
      <family val="1"/>
    </font>
    <font>
      <sz val="8"/>
      <color indexed="8"/>
      <name val="Times New Roman"/>
      <family val="1"/>
    </font>
    <font>
      <vertAlign val="superscript"/>
      <sz val="8"/>
      <color indexed="8"/>
      <name val="Times New Roman"/>
      <family val="1"/>
    </font>
    <font>
      <sz val="8"/>
      <color indexed="12"/>
      <name val="Times New Roman"/>
      <family val="1"/>
    </font>
    <font>
      <sz val="8"/>
      <color theme="1"/>
      <name val="Times New Roman"/>
      <family val="1"/>
    </font>
    <font>
      <vertAlign val="superscript"/>
      <sz val="8"/>
      <color theme="1"/>
      <name val="Times New Roman"/>
      <family val="1"/>
    </font>
    <font>
      <sz val="10"/>
      <color rgb="FF000000"/>
      <name val="Arial"/>
      <family val="2"/>
    </font>
    <font>
      <sz val="5"/>
      <name val="Times New Roman"/>
      <family val="1"/>
    </font>
    <font>
      <vertAlign val="superscript"/>
      <sz val="10"/>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style="hair">
        <color indexed="8"/>
      </top>
      <bottom/>
      <diagonal/>
    </border>
    <border>
      <left/>
      <right/>
      <top style="hair">
        <color indexed="8"/>
      </top>
      <bottom style="hair">
        <color indexed="8"/>
      </bottom>
      <diagonal/>
    </border>
    <border>
      <left/>
      <right/>
      <top/>
      <bottom style="hair">
        <color indexed="8"/>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right/>
      <top/>
      <bottom style="thin">
        <color indexed="8"/>
      </bottom>
      <diagonal/>
    </border>
    <border>
      <left/>
      <right/>
      <top style="thin">
        <color indexed="8"/>
      </top>
      <bottom/>
      <diagonal/>
    </border>
    <border>
      <left/>
      <right/>
      <top/>
      <bottom style="thin">
        <color indexed="64"/>
      </bottom>
      <diagonal/>
    </border>
    <border>
      <left/>
      <right/>
      <top/>
      <bottom style="hair">
        <color rgb="FF000000"/>
      </bottom>
      <diagonal/>
    </border>
  </borders>
  <cellStyleXfs count="14">
    <xf numFmtId="0" fontId="0" fillId="0" borderId="0"/>
    <xf numFmtId="37" fontId="2" fillId="0" borderId="0"/>
    <xf numFmtId="0" fontId="1" fillId="0" borderId="0"/>
    <xf numFmtId="43" fontId="1" fillId="0" borderId="0" applyFont="0" applyFill="0" applyBorder="0" applyAlignment="0" applyProtection="0"/>
    <xf numFmtId="0" fontId="16" fillId="0" borderId="0"/>
    <xf numFmtId="0" fontId="19" fillId="0" borderId="0"/>
    <xf numFmtId="0" fontId="2" fillId="0" borderId="0"/>
    <xf numFmtId="41" fontId="19" fillId="0" borderId="0" applyFont="0" applyFill="0" applyBorder="0" applyAlignment="0" applyProtection="0"/>
    <xf numFmtId="43" fontId="19"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0" fontId="1" fillId="0" borderId="0"/>
    <xf numFmtId="43" fontId="1" fillId="0" borderId="0" applyFont="0" applyFill="0" applyBorder="0" applyAlignment="0" applyProtection="0"/>
    <xf numFmtId="0" fontId="33" fillId="0" borderId="0"/>
  </cellStyleXfs>
  <cellXfs count="452">
    <xf numFmtId="0" fontId="0" fillId="0" borderId="0" xfId="0"/>
    <xf numFmtId="0" fontId="5" fillId="0" borderId="0" xfId="0" applyFont="1"/>
    <xf numFmtId="3" fontId="6" fillId="0" borderId="2" xfId="0" quotePrefix="1" applyNumberFormat="1" applyFont="1" applyBorder="1" applyAlignment="1" applyProtection="1">
      <alignment horizontal="right" vertical="center"/>
      <protection locked="0"/>
    </xf>
    <xf numFmtId="0" fontId="6" fillId="0" borderId="2" xfId="0" applyFont="1" applyBorder="1" applyAlignment="1">
      <alignment vertical="center"/>
    </xf>
    <xf numFmtId="0" fontId="6" fillId="0" borderId="1" xfId="0" applyFont="1" applyBorder="1" applyAlignment="1" applyProtection="1">
      <alignment horizontal="right" vertical="center"/>
      <protection locked="0"/>
    </xf>
    <xf numFmtId="0" fontId="6" fillId="0" borderId="3" xfId="0" applyFont="1" applyBorder="1" applyAlignment="1" applyProtection="1">
      <alignment horizontal="center" vertical="center"/>
      <protection locked="0"/>
    </xf>
    <xf numFmtId="0" fontId="6" fillId="0" borderId="3" xfId="0" applyFont="1" applyBorder="1" applyAlignment="1" applyProtection="1">
      <alignment horizontal="right" vertical="center"/>
      <protection locked="0"/>
    </xf>
    <xf numFmtId="1" fontId="6" fillId="0" borderId="2" xfId="0" applyNumberFormat="1" applyFont="1" applyBorder="1" applyAlignment="1" applyProtection="1">
      <alignment horizontal="right" vertical="center"/>
      <protection locked="0"/>
    </xf>
    <xf numFmtId="1" fontId="6" fillId="0" borderId="3" xfId="0" applyNumberFormat="1" applyFont="1" applyBorder="1" applyAlignment="1" applyProtection="1">
      <alignment horizontal="right" vertical="center"/>
      <protection locked="0"/>
    </xf>
    <xf numFmtId="164" fontId="6" fillId="0" borderId="0" xfId="0" applyNumberFormat="1" applyFont="1" applyAlignment="1" applyProtection="1">
      <alignment horizontal="left" vertical="center"/>
      <protection locked="0"/>
    </xf>
    <xf numFmtId="164" fontId="6" fillId="0" borderId="0" xfId="0" applyNumberFormat="1" applyFont="1" applyAlignment="1" applyProtection="1">
      <alignment vertical="center"/>
      <protection locked="0"/>
    </xf>
    <xf numFmtId="3" fontId="6" fillId="0" borderId="0" xfId="0" applyNumberFormat="1" applyFont="1" applyAlignment="1" applyProtection="1">
      <alignment horizontal="right" vertical="center"/>
      <protection locked="0"/>
    </xf>
    <xf numFmtId="3" fontId="7" fillId="0" borderId="0" xfId="0" quotePrefix="1" applyNumberFormat="1" applyFont="1" applyAlignment="1" applyProtection="1">
      <alignment horizontal="left" vertical="center"/>
      <protection locked="0"/>
    </xf>
    <xf numFmtId="3" fontId="6" fillId="0" borderId="0" xfId="0" applyNumberFormat="1" applyFont="1" applyAlignment="1" applyProtection="1">
      <alignment horizontal="left" vertical="center"/>
      <protection locked="0"/>
    </xf>
    <xf numFmtId="164" fontId="6" fillId="0" borderId="2" xfId="0" applyNumberFormat="1" applyFont="1" applyBorder="1" applyAlignment="1" applyProtection="1">
      <alignment horizontal="left" vertical="center"/>
      <protection locked="0"/>
    </xf>
    <xf numFmtId="3" fontId="6" fillId="0" borderId="0" xfId="0" quotePrefix="1" applyNumberFormat="1" applyFont="1" applyAlignment="1" applyProtection="1">
      <alignment horizontal="right" vertical="center"/>
      <protection locked="0"/>
    </xf>
    <xf numFmtId="164" fontId="6" fillId="0" borderId="1" xfId="0" applyNumberFormat="1" applyFont="1" applyBorder="1" applyAlignment="1" applyProtection="1">
      <alignment horizontal="left" vertical="center"/>
      <protection locked="0"/>
    </xf>
    <xf numFmtId="3" fontId="6" fillId="0" borderId="0" xfId="0" applyNumberFormat="1" applyFont="1" applyAlignment="1">
      <alignment horizontal="left" vertical="center"/>
    </xf>
    <xf numFmtId="0" fontId="6" fillId="0" borderId="2" xfId="0" applyFont="1" applyBorder="1" applyAlignment="1" applyProtection="1">
      <alignment horizontal="left" vertical="center"/>
      <protection locked="0"/>
    </xf>
    <xf numFmtId="3" fontId="7" fillId="0" borderId="0" xfId="0" applyNumberFormat="1" applyFont="1" applyAlignment="1" applyProtection="1">
      <alignment horizontal="left" vertical="center"/>
      <protection locked="0"/>
    </xf>
    <xf numFmtId="0" fontId="7" fillId="0" borderId="0" xfId="0" quotePrefix="1" applyFont="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6" fillId="0" borderId="3" xfId="0" applyFont="1" applyBorder="1" applyAlignment="1" applyProtection="1">
      <alignment horizontal="left" vertical="center"/>
      <protection locked="0"/>
    </xf>
    <xf numFmtId="164" fontId="6" fillId="0" borderId="4" xfId="0" applyNumberFormat="1" applyFont="1" applyBorder="1" applyAlignment="1" applyProtection="1">
      <alignment vertical="center"/>
      <protection locked="0"/>
    </xf>
    <xf numFmtId="3" fontId="6" fillId="0" borderId="4" xfId="0" applyNumberFormat="1" applyFont="1" applyBorder="1" applyAlignment="1" applyProtection="1">
      <alignment horizontal="right" vertical="center"/>
      <protection locked="0"/>
    </xf>
    <xf numFmtId="3" fontId="7" fillId="0" borderId="4" xfId="0" quotePrefix="1" applyNumberFormat="1" applyFont="1" applyBorder="1" applyAlignment="1" applyProtection="1">
      <alignment horizontal="left" vertical="center"/>
      <protection locked="0"/>
    </xf>
    <xf numFmtId="0" fontId="7" fillId="0" borderId="4" xfId="0" quotePrefix="1" applyFont="1" applyBorder="1" applyAlignment="1" applyProtection="1">
      <alignment horizontal="left" vertical="center"/>
      <protection locked="0"/>
    </xf>
    <xf numFmtId="164" fontId="6" fillId="0" borderId="1" xfId="0" applyNumberFormat="1" applyFont="1" applyBorder="1" applyAlignment="1" applyProtection="1">
      <alignment vertical="center"/>
      <protection locked="0"/>
    </xf>
    <xf numFmtId="3" fontId="6" fillId="0" borderId="1" xfId="0" quotePrefix="1" applyNumberFormat="1" applyFont="1" applyBorder="1" applyAlignment="1" applyProtection="1">
      <alignment horizontal="right" vertical="center"/>
      <protection locked="0"/>
    </xf>
    <xf numFmtId="0" fontId="7" fillId="0" borderId="1" xfId="0" quotePrefix="1" applyFont="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164" fontId="6" fillId="0" borderId="2" xfId="0" applyNumberFormat="1" applyFont="1" applyBorder="1" applyAlignment="1" applyProtection="1">
      <alignment horizontal="left" vertical="center" indent="1"/>
      <protection locked="0"/>
    </xf>
    <xf numFmtId="164" fontId="6" fillId="0" borderId="3" xfId="0" applyNumberFormat="1" applyFont="1" applyBorder="1" applyAlignment="1" applyProtection="1">
      <alignment vertical="center"/>
      <protection locked="0"/>
    </xf>
    <xf numFmtId="3" fontId="6" fillId="0" borderId="2" xfId="0" applyNumberFormat="1" applyFont="1" applyBorder="1" applyAlignment="1" applyProtection="1">
      <alignment horizontal="right" vertical="center"/>
      <protection locked="0"/>
    </xf>
    <xf numFmtId="0" fontId="7" fillId="0" borderId="2" xfId="0" quotePrefix="1" applyFont="1" applyBorder="1" applyAlignment="1" applyProtection="1">
      <alignment horizontal="left" vertical="center"/>
      <protection locked="0"/>
    </xf>
    <xf numFmtId="164" fontId="6" fillId="0" borderId="2" xfId="0" applyNumberFormat="1" applyFont="1" applyBorder="1" applyAlignment="1" applyProtection="1">
      <alignment vertical="center"/>
      <protection locked="0"/>
    </xf>
    <xf numFmtId="0" fontId="14" fillId="0" borderId="1" xfId="0" applyFont="1" applyBorder="1" applyAlignment="1" applyProtection="1">
      <alignment horizontal="right" vertical="center"/>
      <protection locked="0"/>
    </xf>
    <xf numFmtId="0" fontId="14" fillId="0" borderId="3" xfId="0" applyFont="1" applyBorder="1" applyAlignment="1" applyProtection="1">
      <alignment horizontal="center" vertical="center"/>
      <protection locked="0"/>
    </xf>
    <xf numFmtId="0" fontId="14" fillId="0" borderId="3" xfId="0" applyFont="1" applyBorder="1" applyAlignment="1" applyProtection="1">
      <alignment horizontal="right" vertical="center"/>
      <protection locked="0"/>
    </xf>
    <xf numFmtId="3" fontId="14" fillId="0" borderId="2" xfId="0" applyNumberFormat="1" applyFont="1" applyBorder="1" applyAlignment="1" applyProtection="1">
      <alignment horizontal="right" vertical="center"/>
      <protection locked="0"/>
    </xf>
    <xf numFmtId="1" fontId="14" fillId="0" borderId="2" xfId="0" applyNumberFormat="1" applyFont="1" applyBorder="1" applyAlignment="1" applyProtection="1">
      <alignment horizontal="right" vertical="center"/>
      <protection locked="0"/>
    </xf>
    <xf numFmtId="3" fontId="14" fillId="0" borderId="2" xfId="0" quotePrefix="1" applyNumberFormat="1" applyFont="1" applyBorder="1" applyAlignment="1" applyProtection="1">
      <alignment horizontal="right" vertical="center"/>
      <protection locked="0"/>
    </xf>
    <xf numFmtId="1" fontId="14" fillId="0" borderId="3" xfId="0" applyNumberFormat="1" applyFont="1" applyBorder="1" applyAlignment="1" applyProtection="1">
      <alignment horizontal="right" vertical="center"/>
      <protection locked="0"/>
    </xf>
    <xf numFmtId="164" fontId="14" fillId="0" borderId="0" xfId="0" applyNumberFormat="1" applyFont="1" applyAlignment="1" applyProtection="1">
      <alignment horizontal="left" vertical="center"/>
      <protection locked="0"/>
    </xf>
    <xf numFmtId="164" fontId="14" fillId="0" borderId="0" xfId="0" applyNumberFormat="1" applyFont="1" applyAlignment="1" applyProtection="1">
      <alignment vertical="center"/>
      <protection locked="0"/>
    </xf>
    <xf numFmtId="3" fontId="14" fillId="0" borderId="0" xfId="0" applyNumberFormat="1" applyFont="1" applyAlignment="1" applyProtection="1">
      <alignment horizontal="right" vertical="center"/>
      <protection locked="0"/>
    </xf>
    <xf numFmtId="3" fontId="14" fillId="0" borderId="0" xfId="0" applyNumberFormat="1" applyFont="1" applyAlignment="1" applyProtection="1">
      <alignment horizontal="left" vertical="center"/>
      <protection locked="0"/>
    </xf>
    <xf numFmtId="3" fontId="15" fillId="0" borderId="0" xfId="0" quotePrefix="1" applyNumberFormat="1" applyFont="1" applyAlignment="1" applyProtection="1">
      <alignment horizontal="left" vertical="center"/>
      <protection locked="0"/>
    </xf>
    <xf numFmtId="0" fontId="15" fillId="0" borderId="0" xfId="0" applyFont="1" applyAlignment="1" applyProtection="1">
      <alignment horizontal="left" vertical="center"/>
      <protection locked="0"/>
    </xf>
    <xf numFmtId="0" fontId="15" fillId="0" borderId="0" xfId="0" quotePrefix="1" applyFont="1" applyAlignment="1" applyProtection="1">
      <alignment horizontal="left" vertical="center"/>
      <protection locked="0"/>
    </xf>
    <xf numFmtId="164" fontId="14" fillId="0" borderId="2" xfId="0" applyNumberFormat="1" applyFont="1" applyBorder="1" applyAlignment="1" applyProtection="1">
      <alignment horizontal="left" vertical="center"/>
      <protection locked="0"/>
    </xf>
    <xf numFmtId="3" fontId="15" fillId="0" borderId="0" xfId="0" applyNumberFormat="1" applyFont="1" applyAlignment="1">
      <alignment horizontal="left" vertical="center"/>
    </xf>
    <xf numFmtId="3" fontId="15" fillId="0" borderId="0" xfId="0" applyNumberFormat="1" applyFont="1" applyAlignment="1" applyProtection="1">
      <alignment horizontal="left" vertical="center"/>
      <protection locked="0"/>
    </xf>
    <xf numFmtId="164" fontId="14" fillId="0" borderId="1" xfId="0" applyNumberFormat="1" applyFont="1" applyBorder="1" applyAlignment="1" applyProtection="1">
      <alignment horizontal="left" vertical="center"/>
      <protection locked="0"/>
    </xf>
    <xf numFmtId="3" fontId="14" fillId="0" borderId="0" xfId="0" applyNumberFormat="1" applyFont="1" applyAlignment="1">
      <alignment horizontal="left" vertical="center"/>
    </xf>
    <xf numFmtId="0" fontId="14" fillId="0" borderId="2" xfId="0" applyFont="1" applyBorder="1" applyAlignment="1" applyProtection="1">
      <alignment horizontal="left" vertical="center"/>
      <protection locked="0"/>
    </xf>
    <xf numFmtId="3" fontId="14" fillId="0" borderId="0" xfId="0" quotePrefix="1" applyNumberFormat="1" applyFont="1" applyAlignment="1" applyProtection="1">
      <alignment horizontal="right" vertical="center"/>
      <protection locked="0"/>
    </xf>
    <xf numFmtId="3" fontId="15" fillId="0" borderId="0" xfId="0" applyNumberFormat="1" applyFont="1" applyAlignment="1" applyProtection="1">
      <alignment vertical="center"/>
      <protection locked="0"/>
    </xf>
    <xf numFmtId="3" fontId="15" fillId="0" borderId="0" xfId="0" quotePrefix="1" applyNumberFormat="1" applyFont="1" applyAlignment="1" applyProtection="1">
      <alignment vertical="center"/>
      <protection locked="0"/>
    </xf>
    <xf numFmtId="0" fontId="14" fillId="0" borderId="0" xfId="0" applyFont="1" applyAlignment="1" applyProtection="1">
      <alignment horizontal="left" vertical="center"/>
      <protection locked="0"/>
    </xf>
    <xf numFmtId="0" fontId="14" fillId="0" borderId="2" xfId="0" applyFont="1" applyBorder="1" applyAlignment="1">
      <alignment vertical="center"/>
    </xf>
    <xf numFmtId="164" fontId="14" fillId="0" borderId="2" xfId="0" applyNumberFormat="1" applyFont="1" applyBorder="1" applyAlignment="1" applyProtection="1">
      <alignment horizontal="left" vertical="center" indent="1"/>
      <protection locked="0"/>
    </xf>
    <xf numFmtId="164" fontId="14" fillId="0" borderId="3" xfId="0" applyNumberFormat="1" applyFont="1" applyBorder="1" applyAlignment="1" applyProtection="1">
      <alignment vertical="center"/>
      <protection locked="0"/>
    </xf>
    <xf numFmtId="0" fontId="15" fillId="0" borderId="2" xfId="0" quotePrefix="1" applyFont="1" applyBorder="1" applyAlignment="1" applyProtection="1">
      <alignment horizontal="left" vertical="center"/>
      <protection locked="0"/>
    </xf>
    <xf numFmtId="164" fontId="14" fillId="0" borderId="2" xfId="0" applyNumberFormat="1" applyFont="1" applyBorder="1" applyAlignment="1" applyProtection="1">
      <alignment vertical="center"/>
      <protection locked="0"/>
    </xf>
    <xf numFmtId="0" fontId="15" fillId="0" borderId="2" xfId="0" applyFont="1" applyBorder="1" applyAlignment="1" applyProtection="1">
      <alignment horizontal="left" vertical="center"/>
      <protection locked="0"/>
    </xf>
    <xf numFmtId="0" fontId="14" fillId="0" borderId="0" xfId="0" applyFont="1"/>
    <xf numFmtId="0" fontId="3" fillId="0" borderId="0" xfId="2" applyFont="1" applyAlignment="1">
      <alignment vertical="center"/>
    </xf>
    <xf numFmtId="0" fontId="3" fillId="0" borderId="0" xfId="2" applyFont="1"/>
    <xf numFmtId="49" fontId="3" fillId="0" borderId="5" xfId="3" applyNumberFormat="1" applyFont="1" applyFill="1" applyBorder="1" applyAlignment="1">
      <alignment horizontal="right" vertical="center"/>
    </xf>
    <xf numFmtId="49" fontId="4" fillId="0" borderId="5" xfId="2" applyNumberFormat="1" applyFont="1" applyBorder="1" applyAlignment="1">
      <alignment horizontal="left" vertical="center"/>
    </xf>
    <xf numFmtId="49" fontId="3" fillId="0" borderId="4" xfId="2" applyNumberFormat="1" applyFont="1" applyBorder="1" applyAlignment="1">
      <alignment horizontal="left" vertical="center"/>
    </xf>
    <xf numFmtId="0" fontId="3" fillId="0" borderId="0" xfId="2" applyFont="1" applyAlignment="1">
      <alignment horizontal="center" vertical="center"/>
    </xf>
    <xf numFmtId="49" fontId="4" fillId="0" borderId="0" xfId="2" applyNumberFormat="1" applyFont="1" applyAlignment="1">
      <alignment horizontal="left" vertical="center"/>
    </xf>
    <xf numFmtId="0" fontId="4" fillId="0" borderId="0" xfId="2" applyFont="1" applyAlignment="1">
      <alignment horizontal="left" vertical="center"/>
    </xf>
    <xf numFmtId="3" fontId="3" fillId="0" borderId="0" xfId="3" applyNumberFormat="1" applyFont="1" applyFill="1" applyAlignment="1">
      <alignment horizontal="right" vertical="center"/>
    </xf>
    <xf numFmtId="49" fontId="3" fillId="0" borderId="5" xfId="2" applyNumberFormat="1" applyFont="1" applyBorder="1" applyAlignment="1">
      <alignment horizontal="left" vertical="center" indent="1"/>
    </xf>
    <xf numFmtId="49" fontId="3" fillId="0" borderId="5" xfId="2" applyNumberFormat="1" applyFont="1" applyBorder="1" applyAlignment="1">
      <alignment horizontal="left" vertical="center"/>
    </xf>
    <xf numFmtId="49" fontId="3" fillId="0" borderId="0" xfId="3" quotePrefix="1" applyNumberFormat="1" applyFont="1" applyFill="1" applyAlignment="1">
      <alignment horizontal="right" vertical="center"/>
    </xf>
    <xf numFmtId="3" fontId="3" fillId="0" borderId="0" xfId="3" applyNumberFormat="1" applyFont="1" applyFill="1" applyAlignment="1">
      <alignment horizontal="right"/>
    </xf>
    <xf numFmtId="3" fontId="3" fillId="0" borderId="4" xfId="3" applyNumberFormat="1" applyFont="1" applyFill="1" applyBorder="1" applyAlignment="1">
      <alignment horizontal="right" vertical="center"/>
    </xf>
    <xf numFmtId="49" fontId="4" fillId="0" borderId="4" xfId="2" applyNumberFormat="1" applyFont="1" applyBorder="1" applyAlignment="1">
      <alignment horizontal="left" vertical="center"/>
    </xf>
    <xf numFmtId="0" fontId="3" fillId="0" borderId="0" xfId="4" applyFont="1" applyAlignment="1">
      <alignment vertical="center"/>
    </xf>
    <xf numFmtId="49" fontId="12" fillId="0" borderId="0" xfId="3" quotePrefix="1" applyNumberFormat="1" applyFont="1" applyFill="1" applyAlignment="1">
      <alignment horizontal="right" vertical="center"/>
    </xf>
    <xf numFmtId="3" fontId="3" fillId="0" borderId="0" xfId="3" applyNumberFormat="1" applyFont="1" applyFill="1" applyBorder="1" applyAlignment="1">
      <alignment horizontal="right" vertical="center"/>
    </xf>
    <xf numFmtId="49" fontId="3" fillId="0" borderId="0" xfId="3" quotePrefix="1" applyNumberFormat="1" applyFont="1" applyFill="1" applyBorder="1" applyAlignment="1">
      <alignment horizontal="right" vertical="center"/>
    </xf>
    <xf numFmtId="0" fontId="3" fillId="0" borderId="0" xfId="2" applyFont="1" applyAlignment="1">
      <alignment horizontal="left" vertical="center" wrapText="1"/>
    </xf>
    <xf numFmtId="0" fontId="3" fillId="0" borderId="0" xfId="2" applyFont="1" applyAlignment="1">
      <alignment horizontal="left" vertical="center"/>
    </xf>
    <xf numFmtId="165" fontId="3" fillId="0" borderId="0" xfId="3" applyNumberFormat="1" applyFont="1" applyFill="1" applyAlignment="1">
      <alignment horizontal="right"/>
    </xf>
    <xf numFmtId="49" fontId="17" fillId="0" borderId="6" xfId="0" applyNumberFormat="1" applyFont="1" applyBorder="1" applyAlignment="1">
      <alignment horizontal="center" vertical="center"/>
    </xf>
    <xf numFmtId="49" fontId="17" fillId="0" borderId="6" xfId="0" applyNumberFormat="1" applyFont="1" applyBorder="1" applyAlignment="1">
      <alignment vertical="center"/>
    </xf>
    <xf numFmtId="49" fontId="17" fillId="0" borderId="4" xfId="0" applyNumberFormat="1" applyFont="1" applyBorder="1" applyAlignment="1">
      <alignment horizontal="center" vertical="center"/>
    </xf>
    <xf numFmtId="49" fontId="17" fillId="0" borderId="4" xfId="0" applyNumberFormat="1" applyFont="1" applyBorder="1" applyAlignment="1">
      <alignment vertical="center"/>
    </xf>
    <xf numFmtId="49" fontId="17" fillId="0" borderId="4" xfId="0" applyNumberFormat="1" applyFont="1" applyBorder="1" applyAlignment="1">
      <alignment horizontal="right"/>
    </xf>
    <xf numFmtId="49" fontId="18" fillId="0" borderId="4" xfId="0" applyNumberFormat="1" applyFont="1" applyBorder="1" applyAlignment="1">
      <alignment horizontal="left" vertical="center"/>
    </xf>
    <xf numFmtId="49" fontId="17" fillId="0" borderId="4" xfId="0" applyNumberFormat="1" applyFont="1" applyBorder="1" applyAlignment="1">
      <alignment horizontal="left" vertical="center"/>
    </xf>
    <xf numFmtId="49" fontId="18" fillId="0" borderId="0" xfId="0" applyNumberFormat="1" applyFont="1" applyAlignment="1">
      <alignment horizontal="left" vertical="center"/>
    </xf>
    <xf numFmtId="3" fontId="17" fillId="0" borderId="0" xfId="0" applyNumberFormat="1" applyFont="1" applyAlignment="1">
      <alignment horizontal="right"/>
    </xf>
    <xf numFmtId="49" fontId="17" fillId="0" borderId="0" xfId="0" applyNumberFormat="1" applyFont="1" applyAlignment="1">
      <alignment vertical="center"/>
    </xf>
    <xf numFmtId="49" fontId="17" fillId="0" borderId="0" xfId="0" applyNumberFormat="1" applyFont="1"/>
    <xf numFmtId="49" fontId="17" fillId="0" borderId="5" xfId="0" applyNumberFormat="1" applyFont="1" applyBorder="1" applyAlignment="1">
      <alignment horizontal="left" vertical="center"/>
    </xf>
    <xf numFmtId="49" fontId="17" fillId="0" borderId="0" xfId="0" applyNumberFormat="1" applyFont="1" applyAlignment="1">
      <alignment horizontal="right"/>
    </xf>
    <xf numFmtId="49" fontId="17" fillId="0" borderId="0" xfId="0" applyNumberFormat="1" applyFont="1" applyAlignment="1">
      <alignment horizontal="right" vertical="center"/>
    </xf>
    <xf numFmtId="3" fontId="17" fillId="0" borderId="4" xfId="0" applyNumberFormat="1" applyFont="1" applyBorder="1" applyAlignment="1">
      <alignment horizontal="right"/>
    </xf>
    <xf numFmtId="49" fontId="17" fillId="0" borderId="4" xfId="0" applyNumberFormat="1" applyFont="1" applyBorder="1" applyAlignment="1">
      <alignment horizontal="left" vertical="center" indent="1"/>
    </xf>
    <xf numFmtId="3" fontId="17" fillId="0" borderId="5" xfId="0" applyNumberFormat="1" applyFont="1" applyBorder="1"/>
    <xf numFmtId="49" fontId="17" fillId="0" borderId="5" xfId="0" applyNumberFormat="1" applyFont="1" applyBorder="1"/>
    <xf numFmtId="49" fontId="17" fillId="0" borderId="5" xfId="0" applyNumberFormat="1" applyFont="1" applyBorder="1" applyAlignment="1">
      <alignment vertical="center"/>
    </xf>
    <xf numFmtId="3" fontId="17" fillId="0" borderId="5" xfId="0" applyNumberFormat="1" applyFont="1" applyBorder="1" applyAlignment="1">
      <alignment horizontal="right"/>
    </xf>
    <xf numFmtId="49" fontId="18" fillId="0" borderId="5" xfId="0" applyNumberFormat="1" applyFont="1" applyBorder="1" applyAlignment="1">
      <alignment horizontal="left" vertical="center"/>
    </xf>
    <xf numFmtId="0" fontId="8" fillId="0" borderId="0" xfId="6" applyFont="1" applyAlignment="1">
      <alignment vertical="center"/>
    </xf>
    <xf numFmtId="0" fontId="2" fillId="0" borderId="0" xfId="6"/>
    <xf numFmtId="37" fontId="3" fillId="0" borderId="2" xfId="5" applyNumberFormat="1" applyFont="1" applyBorder="1" applyAlignment="1" applyProtection="1">
      <alignment horizontal="center" vertical="center"/>
      <protection locked="0"/>
    </xf>
    <xf numFmtId="37" fontId="3" fillId="0" borderId="2" xfId="5" applyNumberFormat="1" applyFont="1" applyBorder="1" applyAlignment="1" applyProtection="1">
      <alignment vertical="center"/>
      <protection locked="0"/>
    </xf>
    <xf numFmtId="1" fontId="3" fillId="0" borderId="2" xfId="5" applyNumberFormat="1" applyFont="1" applyBorder="1" applyAlignment="1" applyProtection="1">
      <alignment horizontal="right" vertical="center"/>
      <protection locked="0"/>
    </xf>
    <xf numFmtId="1" fontId="3" fillId="0" borderId="2" xfId="5" applyNumberFormat="1" applyFont="1" applyBorder="1" applyAlignment="1" applyProtection="1">
      <alignment vertical="center"/>
      <protection locked="0"/>
    </xf>
    <xf numFmtId="37" fontId="3" fillId="0" borderId="0" xfId="5" applyNumberFormat="1" applyFont="1" applyAlignment="1" applyProtection="1">
      <alignment horizontal="left" vertical="center"/>
      <protection locked="0"/>
    </xf>
    <xf numFmtId="3" fontId="3" fillId="0" borderId="0" xfId="5" applyNumberFormat="1" applyFont="1" applyAlignment="1" applyProtection="1">
      <alignment vertical="center"/>
      <protection locked="0"/>
    </xf>
    <xf numFmtId="37" fontId="3" fillId="0" borderId="2" xfId="5" applyNumberFormat="1" applyFont="1" applyBorder="1" applyAlignment="1" applyProtection="1">
      <alignment horizontal="left" vertical="center"/>
      <protection locked="0"/>
    </xf>
    <xf numFmtId="3" fontId="4" fillId="0" borderId="0" xfId="5" applyNumberFormat="1" applyFont="1" applyAlignment="1" applyProtection="1">
      <alignment vertical="center"/>
      <protection locked="0"/>
    </xf>
    <xf numFmtId="37" fontId="3" fillId="0" borderId="2" xfId="5" applyNumberFormat="1" applyFont="1" applyBorder="1" applyAlignment="1" applyProtection="1">
      <alignment horizontal="left" vertical="center" indent="1"/>
      <protection locked="0"/>
    </xf>
    <xf numFmtId="3" fontId="4" fillId="0" borderId="0" xfId="5" applyNumberFormat="1" applyFont="1" applyAlignment="1" applyProtection="1">
      <alignment horizontal="left" vertical="center"/>
      <protection locked="0"/>
    </xf>
    <xf numFmtId="3" fontId="3" fillId="0" borderId="0" xfId="5" applyNumberFormat="1" applyFont="1" applyAlignment="1" applyProtection="1">
      <alignment horizontal="left" vertical="center"/>
      <protection locked="0"/>
    </xf>
    <xf numFmtId="3" fontId="3" fillId="0" borderId="0" xfId="5" applyNumberFormat="1" applyFont="1" applyAlignment="1" applyProtection="1">
      <alignment horizontal="right" vertical="center"/>
      <protection locked="0"/>
    </xf>
    <xf numFmtId="37" fontId="3" fillId="0" borderId="0" xfId="5" applyNumberFormat="1" applyFont="1" applyAlignment="1" applyProtection="1">
      <alignment vertical="center"/>
      <protection locked="0"/>
    </xf>
    <xf numFmtId="37" fontId="3" fillId="0" borderId="3" xfId="5" applyNumberFormat="1" applyFont="1" applyBorder="1" applyAlignment="1" applyProtection="1">
      <alignment horizontal="left" vertical="center"/>
      <protection locked="0"/>
    </xf>
    <xf numFmtId="3" fontId="3" fillId="0" borderId="3" xfId="5" applyNumberFormat="1" applyFont="1" applyBorder="1" applyAlignment="1" applyProtection="1">
      <alignment vertical="center"/>
      <protection locked="0"/>
    </xf>
    <xf numFmtId="0" fontId="3" fillId="0" borderId="0" xfId="5" applyFont="1" applyAlignment="1" applyProtection="1">
      <alignment vertical="center"/>
      <protection locked="0"/>
    </xf>
    <xf numFmtId="37" fontId="3" fillId="0" borderId="1" xfId="5" applyNumberFormat="1" applyFont="1" applyBorder="1" applyAlignment="1" applyProtection="1">
      <alignment vertical="center"/>
      <protection locked="0"/>
    </xf>
    <xf numFmtId="3" fontId="3" fillId="0" borderId="7" xfId="5" applyNumberFormat="1" applyFont="1" applyBorder="1" applyAlignment="1" applyProtection="1">
      <alignment vertical="center"/>
      <protection locked="0"/>
    </xf>
    <xf numFmtId="3" fontId="3" fillId="0" borderId="8" xfId="5" applyNumberFormat="1" applyFont="1" applyBorder="1" applyAlignment="1" applyProtection="1">
      <alignment vertical="center"/>
      <protection locked="0"/>
    </xf>
    <xf numFmtId="37" fontId="3" fillId="0" borderId="2" xfId="5" applyNumberFormat="1" applyFont="1" applyBorder="1" applyAlignment="1" applyProtection="1">
      <alignment horizontal="left" vertical="center" indent="2"/>
      <protection locked="0"/>
    </xf>
    <xf numFmtId="37" fontId="3" fillId="0" borderId="2" xfId="5" applyNumberFormat="1" applyFont="1" applyBorder="1" applyAlignment="1" applyProtection="1">
      <alignment horizontal="left" vertical="center" indent="3"/>
      <protection locked="0"/>
    </xf>
    <xf numFmtId="37" fontId="3" fillId="0" borderId="3" xfId="5" applyNumberFormat="1" applyFont="1" applyBorder="1" applyAlignment="1" applyProtection="1">
      <alignment horizontal="left" vertical="center" indent="3"/>
      <protection locked="0"/>
    </xf>
    <xf numFmtId="3" fontId="4" fillId="0" borderId="3" xfId="5" applyNumberFormat="1" applyFont="1" applyBorder="1" applyAlignment="1" applyProtection="1">
      <alignment vertical="center"/>
      <protection locked="0"/>
    </xf>
    <xf numFmtId="0" fontId="20" fillId="0" borderId="0" xfId="5" applyFont="1"/>
    <xf numFmtId="37" fontId="21" fillId="0" borderId="0" xfId="5" applyNumberFormat="1" applyFont="1" applyAlignment="1">
      <alignment horizontal="centerContinuous" vertical="center"/>
    </xf>
    <xf numFmtId="37" fontId="3" fillId="0" borderId="0" xfId="5" applyNumberFormat="1" applyFont="1" applyAlignment="1">
      <alignment horizontal="centerContinuous" vertical="center"/>
    </xf>
    <xf numFmtId="0" fontId="19" fillId="0" borderId="0" xfId="5"/>
    <xf numFmtId="0" fontId="3" fillId="0" borderId="5" xfId="5" applyFont="1" applyBorder="1" applyAlignment="1" applyProtection="1">
      <alignment horizontal="center" vertical="center"/>
      <protection locked="0"/>
    </xf>
    <xf numFmtId="0" fontId="3" fillId="0" borderId="5" xfId="5" applyFont="1" applyBorder="1" applyAlignment="1" applyProtection="1">
      <alignment vertical="center"/>
      <protection locked="0"/>
    </xf>
    <xf numFmtId="3" fontId="3" fillId="0" borderId="5" xfId="7" quotePrefix="1" applyNumberFormat="1" applyFont="1" applyBorder="1" applyAlignment="1" applyProtection="1">
      <alignment horizontal="right" vertical="center"/>
      <protection locked="0"/>
    </xf>
    <xf numFmtId="3" fontId="3" fillId="0" borderId="0" xfId="8" applyNumberFormat="1" applyFont="1" applyAlignment="1" applyProtection="1">
      <alignment vertical="center"/>
      <protection locked="0"/>
    </xf>
    <xf numFmtId="0" fontId="4" fillId="0" borderId="0" xfId="5" applyFont="1" applyAlignment="1" applyProtection="1">
      <alignment vertical="center"/>
      <protection locked="0"/>
    </xf>
    <xf numFmtId="0" fontId="4" fillId="0" borderId="0" xfId="5" quotePrefix="1" applyFont="1" applyAlignment="1" applyProtection="1">
      <alignment vertical="center"/>
      <protection locked="0"/>
    </xf>
    <xf numFmtId="3" fontId="3" fillId="0" borderId="0" xfId="8" applyNumberFormat="1" applyFont="1" applyAlignment="1" applyProtection="1">
      <alignment horizontal="right" vertical="center"/>
      <protection locked="0"/>
    </xf>
    <xf numFmtId="3" fontId="3" fillId="0" borderId="0" xfId="7" quotePrefix="1" applyNumberFormat="1" applyFont="1" applyAlignment="1" applyProtection="1">
      <alignment horizontal="right" vertical="center"/>
      <protection locked="0"/>
    </xf>
    <xf numFmtId="3" fontId="3" fillId="0" borderId="0" xfId="8" quotePrefix="1" applyNumberFormat="1" applyFont="1" applyAlignment="1" applyProtection="1">
      <alignment horizontal="right" vertical="center"/>
      <protection locked="0"/>
    </xf>
    <xf numFmtId="0" fontId="3" fillId="0" borderId="4" xfId="5" applyFont="1" applyBorder="1" applyAlignment="1" applyProtection="1">
      <alignment vertical="center"/>
      <protection locked="0"/>
    </xf>
    <xf numFmtId="3" fontId="3" fillId="0" borderId="4" xfId="8" applyNumberFormat="1" applyFont="1" applyBorder="1" applyAlignment="1" applyProtection="1">
      <alignment vertical="center"/>
      <protection locked="0"/>
    </xf>
    <xf numFmtId="0" fontId="4" fillId="0" borderId="4" xfId="5" applyFont="1" applyBorder="1" applyAlignment="1" applyProtection="1">
      <alignment vertical="center"/>
      <protection locked="0"/>
    </xf>
    <xf numFmtId="0" fontId="3" fillId="0" borderId="6" xfId="5" applyFont="1" applyBorder="1" applyAlignment="1" applyProtection="1">
      <alignment vertical="center"/>
      <protection locked="0"/>
    </xf>
    <xf numFmtId="3" fontId="3" fillId="0" borderId="6" xfId="8" applyNumberFormat="1" applyFont="1" applyBorder="1" applyAlignment="1" applyProtection="1">
      <alignment vertical="center"/>
      <protection locked="0"/>
    </xf>
    <xf numFmtId="0" fontId="4" fillId="0" borderId="6" xfId="5" applyFont="1" applyBorder="1" applyAlignment="1" applyProtection="1">
      <alignment vertical="center"/>
      <protection locked="0"/>
    </xf>
    <xf numFmtId="0" fontId="4" fillId="0" borderId="6" xfId="5" quotePrefix="1" applyFont="1" applyBorder="1" applyAlignment="1" applyProtection="1">
      <alignment vertical="center"/>
      <protection locked="0"/>
    </xf>
    <xf numFmtId="3" fontId="3" fillId="0" borderId="0" xfId="8" applyNumberFormat="1" applyFont="1" applyBorder="1" applyAlignment="1" applyProtection="1">
      <alignment vertical="center"/>
      <protection locked="0"/>
    </xf>
    <xf numFmtId="3" fontId="3" fillId="0" borderId="5" xfId="8" applyNumberFormat="1" applyFont="1" applyBorder="1" applyAlignment="1" applyProtection="1">
      <alignment vertical="center"/>
      <protection locked="0"/>
    </xf>
    <xf numFmtId="0" fontId="4" fillId="0" borderId="5" xfId="5" quotePrefix="1" applyFont="1" applyBorder="1" applyAlignment="1" applyProtection="1">
      <alignment vertical="center"/>
      <protection locked="0"/>
    </xf>
    <xf numFmtId="0" fontId="4" fillId="0" borderId="5" xfId="5" applyFont="1" applyBorder="1" applyAlignment="1" applyProtection="1">
      <alignment vertical="center"/>
      <protection locked="0"/>
    </xf>
    <xf numFmtId="0" fontId="3" fillId="0" borderId="0" xfId="5" applyFont="1" applyAlignment="1">
      <alignment vertical="center"/>
    </xf>
    <xf numFmtId="0" fontId="3" fillId="0" borderId="0" xfId="5" applyFont="1"/>
    <xf numFmtId="3" fontId="3" fillId="0" borderId="0" xfId="5" applyNumberFormat="1" applyFont="1"/>
    <xf numFmtId="3" fontId="19" fillId="0" borderId="0" xfId="5" applyNumberFormat="1"/>
    <xf numFmtId="0" fontId="16" fillId="0" borderId="0" xfId="4"/>
    <xf numFmtId="0" fontId="16" fillId="0" borderId="0" xfId="4" applyAlignment="1">
      <alignment vertical="center"/>
    </xf>
    <xf numFmtId="37" fontId="22" fillId="0" borderId="2" xfId="4" applyNumberFormat="1" applyFont="1" applyBorder="1" applyAlignment="1" applyProtection="1">
      <alignment horizontal="left" vertical="center"/>
      <protection locked="0"/>
    </xf>
    <xf numFmtId="37" fontId="24" fillId="0" borderId="2" xfId="4" applyNumberFormat="1" applyFont="1" applyBorder="1" applyAlignment="1" applyProtection="1">
      <alignment vertical="center"/>
      <protection locked="0"/>
    </xf>
    <xf numFmtId="1" fontId="16" fillId="0" borderId="2" xfId="4" quotePrefix="1" applyNumberFormat="1" applyBorder="1" applyAlignment="1" applyProtection="1">
      <alignment horizontal="right" vertical="center"/>
      <protection locked="0"/>
    </xf>
    <xf numFmtId="1" fontId="16" fillId="0" borderId="2" xfId="4" applyNumberFormat="1" applyBorder="1" applyAlignment="1" applyProtection="1">
      <alignment vertical="center"/>
      <protection locked="0"/>
    </xf>
    <xf numFmtId="1" fontId="16" fillId="0" borderId="2" xfId="4" applyNumberFormat="1" applyBorder="1" applyAlignment="1" applyProtection="1">
      <alignment horizontal="right" vertical="center"/>
      <protection locked="0"/>
    </xf>
    <xf numFmtId="37" fontId="24" fillId="0" borderId="0" xfId="4" applyNumberFormat="1" applyFont="1" applyAlignment="1" applyProtection="1">
      <alignment horizontal="left" vertical="center"/>
      <protection locked="0"/>
    </xf>
    <xf numFmtId="3" fontId="16" fillId="0" borderId="0" xfId="4" applyNumberFormat="1" applyAlignment="1">
      <alignment vertical="center"/>
    </xf>
    <xf numFmtId="3" fontId="16" fillId="0" borderId="0" xfId="4" applyNumberFormat="1" applyAlignment="1" applyProtection="1">
      <alignment vertical="center"/>
      <protection locked="0"/>
    </xf>
    <xf numFmtId="3" fontId="25" fillId="0" borderId="0" xfId="4" applyNumberFormat="1" applyFont="1" applyAlignment="1" applyProtection="1">
      <alignment horizontal="left" vertical="center"/>
      <protection locked="0"/>
    </xf>
    <xf numFmtId="3" fontId="16" fillId="0" borderId="0" xfId="4" applyNumberFormat="1" applyAlignment="1" applyProtection="1">
      <alignment horizontal="left" vertical="center"/>
      <protection locked="0"/>
    </xf>
    <xf numFmtId="3" fontId="25" fillId="0" borderId="0" xfId="4" applyNumberFormat="1" applyFont="1" applyAlignment="1" applyProtection="1">
      <alignment vertical="center"/>
      <protection locked="0"/>
    </xf>
    <xf numFmtId="3" fontId="25" fillId="0" borderId="0" xfId="4" quotePrefix="1" applyNumberFormat="1" applyFont="1" applyAlignment="1" applyProtection="1">
      <alignment horizontal="left" vertical="center"/>
      <protection locked="0"/>
    </xf>
    <xf numFmtId="3" fontId="25" fillId="0" borderId="0" xfId="4" quotePrefix="1" applyNumberFormat="1" applyFont="1" applyAlignment="1" applyProtection="1">
      <alignment vertical="center"/>
      <protection locked="0"/>
    </xf>
    <xf numFmtId="3" fontId="16" fillId="0" borderId="0" xfId="4" quotePrefix="1" applyNumberFormat="1" applyAlignment="1" applyProtection="1">
      <alignment horizontal="right" vertical="center"/>
      <protection locked="0"/>
    </xf>
    <xf numFmtId="3" fontId="25" fillId="0" borderId="0" xfId="4" applyNumberFormat="1" applyFont="1" applyAlignment="1">
      <alignment horizontal="left" vertical="center"/>
    </xf>
    <xf numFmtId="3" fontId="25" fillId="0" borderId="0" xfId="4" quotePrefix="1" applyNumberFormat="1" applyFont="1" applyAlignment="1">
      <alignment horizontal="left" vertical="center"/>
    </xf>
    <xf numFmtId="37" fontId="22" fillId="0" borderId="0" xfId="4" applyNumberFormat="1" applyFont="1" applyAlignment="1" applyProtection="1">
      <alignment horizontal="left" vertical="center"/>
      <protection locked="0"/>
    </xf>
    <xf numFmtId="37" fontId="24" fillId="0" borderId="1" xfId="4" applyNumberFormat="1" applyFont="1" applyBorder="1" applyAlignment="1" applyProtection="1">
      <alignment vertical="center"/>
      <protection locked="0"/>
    </xf>
    <xf numFmtId="3" fontId="16" fillId="0" borderId="0" xfId="4" applyNumberFormat="1" applyAlignment="1" applyProtection="1">
      <alignment horizontal="right" vertical="center"/>
      <protection locked="0"/>
    </xf>
    <xf numFmtId="0" fontId="16" fillId="0" borderId="0" xfId="4" applyAlignment="1">
      <alignment horizontal="left" vertical="center"/>
    </xf>
    <xf numFmtId="0" fontId="16" fillId="0" borderId="0" xfId="4" applyAlignment="1" applyProtection="1">
      <alignment horizontal="left" vertical="center"/>
      <protection locked="0"/>
    </xf>
    <xf numFmtId="0" fontId="25" fillId="0" borderId="0" xfId="4" applyFont="1" applyAlignment="1">
      <alignment horizontal="left" vertical="center"/>
    </xf>
    <xf numFmtId="0" fontId="25" fillId="0" borderId="0" xfId="4" quotePrefix="1" applyFont="1" applyAlignment="1">
      <alignment horizontal="left" vertical="center"/>
    </xf>
    <xf numFmtId="0" fontId="16" fillId="0" borderId="0" xfId="4" applyAlignment="1" applyProtection="1">
      <alignment vertical="center"/>
      <protection locked="0"/>
    </xf>
    <xf numFmtId="0" fontId="25" fillId="0" borderId="0" xfId="4" applyFont="1" applyAlignment="1">
      <alignment vertical="center"/>
    </xf>
    <xf numFmtId="0" fontId="25" fillId="0" borderId="0" xfId="4" quotePrefix="1" applyFont="1" applyAlignment="1">
      <alignment vertical="center"/>
    </xf>
    <xf numFmtId="37" fontId="16" fillId="0" borderId="0" xfId="4" applyNumberFormat="1" applyAlignment="1">
      <alignment vertical="center"/>
    </xf>
    <xf numFmtId="37" fontId="24" fillId="0" borderId="3" xfId="4" applyNumberFormat="1" applyFont="1" applyBorder="1" applyAlignment="1" applyProtection="1">
      <alignment horizontal="left" vertical="center"/>
      <protection locked="0"/>
    </xf>
    <xf numFmtId="3" fontId="22" fillId="0" borderId="3" xfId="4" applyNumberFormat="1" applyFont="1" applyBorder="1" applyAlignment="1" applyProtection="1">
      <alignment horizontal="left" vertical="center"/>
      <protection locked="0"/>
    </xf>
    <xf numFmtId="3" fontId="22" fillId="0" borderId="2" xfId="4" applyNumberFormat="1" applyFont="1" applyBorder="1" applyAlignment="1" applyProtection="1">
      <alignment horizontal="left" vertical="center"/>
      <protection locked="0"/>
    </xf>
    <xf numFmtId="3" fontId="16" fillId="0" borderId="7" xfId="4" applyNumberFormat="1" applyBorder="1" applyAlignment="1">
      <alignment vertical="center"/>
    </xf>
    <xf numFmtId="3" fontId="25" fillId="0" borderId="7" xfId="4" applyNumberFormat="1" applyFont="1" applyBorder="1" applyAlignment="1" applyProtection="1">
      <alignment vertical="center"/>
      <protection locked="0"/>
    </xf>
    <xf numFmtId="3" fontId="25" fillId="0" borderId="7" xfId="4" quotePrefix="1" applyNumberFormat="1" applyFont="1" applyBorder="1" applyAlignment="1" applyProtection="1">
      <alignment vertical="center"/>
      <protection locked="0"/>
    </xf>
    <xf numFmtId="3" fontId="16" fillId="0" borderId="7" xfId="4" applyNumberFormat="1" applyBorder="1" applyAlignment="1" applyProtection="1">
      <alignment vertical="center"/>
      <protection locked="0"/>
    </xf>
    <xf numFmtId="3" fontId="16" fillId="0" borderId="8" xfId="4" applyNumberFormat="1" applyBorder="1" applyAlignment="1" applyProtection="1">
      <alignment vertical="center"/>
      <protection locked="0"/>
    </xf>
    <xf numFmtId="3" fontId="16" fillId="0" borderId="3" xfId="4" applyNumberFormat="1" applyBorder="1" applyAlignment="1" applyProtection="1">
      <alignment vertical="center"/>
      <protection locked="0"/>
    </xf>
    <xf numFmtId="37" fontId="27" fillId="0" borderId="0" xfId="4" applyNumberFormat="1" applyFont="1" applyAlignment="1" applyProtection="1">
      <alignment horizontal="left" vertical="center"/>
      <protection locked="0"/>
    </xf>
    <xf numFmtId="0" fontId="9" fillId="0" borderId="0" xfId="4" applyFont="1" applyAlignment="1">
      <alignment vertical="center"/>
    </xf>
    <xf numFmtId="0" fontId="9" fillId="0" borderId="0" xfId="4" applyFont="1"/>
    <xf numFmtId="0" fontId="9" fillId="0" borderId="5" xfId="4" applyFont="1" applyBorder="1" applyAlignment="1">
      <alignment horizontal="center" vertical="center"/>
    </xf>
    <xf numFmtId="0" fontId="9" fillId="0" borderId="5" xfId="4" applyFont="1" applyBorder="1" applyAlignment="1">
      <alignment vertical="center"/>
    </xf>
    <xf numFmtId="3" fontId="9" fillId="0" borderId="5" xfId="9" quotePrefix="1" applyNumberFormat="1" applyFont="1" applyBorder="1" applyAlignment="1">
      <alignment horizontal="right" vertical="center"/>
    </xf>
    <xf numFmtId="0" fontId="10" fillId="0" borderId="5" xfId="4" applyFont="1" applyBorder="1" applyAlignment="1">
      <alignment vertical="center"/>
    </xf>
    <xf numFmtId="3" fontId="9" fillId="0" borderId="0" xfId="10" applyNumberFormat="1" applyFont="1"/>
    <xf numFmtId="0" fontId="10" fillId="0" borderId="0" xfId="4" quotePrefix="1" applyFont="1" applyAlignment="1">
      <alignment vertical="center"/>
    </xf>
    <xf numFmtId="0" fontId="10" fillId="0" borderId="0" xfId="4" applyFont="1" applyAlignment="1">
      <alignment vertical="center"/>
    </xf>
    <xf numFmtId="3" fontId="9" fillId="0" borderId="0" xfId="10" quotePrefix="1" applyNumberFormat="1" applyFont="1" applyAlignment="1">
      <alignment horizontal="right" vertical="center"/>
    </xf>
    <xf numFmtId="0" fontId="13" fillId="0" borderId="0" xfId="4" applyFont="1"/>
    <xf numFmtId="3" fontId="9" fillId="0" borderId="0" xfId="10" applyNumberFormat="1" applyFont="1" applyBorder="1"/>
    <xf numFmtId="3" fontId="9" fillId="0" borderId="0" xfId="10" quotePrefix="1" applyNumberFormat="1" applyFont="1" applyBorder="1" applyAlignment="1">
      <alignment horizontal="right" vertical="center"/>
    </xf>
    <xf numFmtId="0" fontId="13" fillId="0" borderId="4" xfId="4" applyFont="1" applyBorder="1"/>
    <xf numFmtId="3" fontId="9" fillId="0" borderId="5" xfId="10" applyNumberFormat="1" applyFont="1" applyBorder="1"/>
    <xf numFmtId="0" fontId="10" fillId="0" borderId="5" xfId="4" quotePrefix="1" applyFont="1" applyBorder="1" applyAlignment="1">
      <alignment vertical="center"/>
    </xf>
    <xf numFmtId="37" fontId="28" fillId="0" borderId="2" xfId="4" applyNumberFormat="1" applyFont="1" applyBorder="1" applyAlignment="1" applyProtection="1">
      <alignment horizontal="center" vertical="center"/>
      <protection locked="0"/>
    </xf>
    <xf numFmtId="37" fontId="30" fillId="0" borderId="2" xfId="4" applyNumberFormat="1" applyFont="1" applyBorder="1" applyAlignment="1" applyProtection="1">
      <alignment vertical="center"/>
      <protection locked="0"/>
    </xf>
    <xf numFmtId="1" fontId="3" fillId="0" borderId="2" xfId="4" quotePrefix="1" applyNumberFormat="1" applyFont="1" applyBorder="1" applyAlignment="1" applyProtection="1">
      <alignment horizontal="right" vertical="center"/>
      <protection locked="0"/>
    </xf>
    <xf numFmtId="1" fontId="3" fillId="0" borderId="2" xfId="4" applyNumberFormat="1" applyFont="1" applyBorder="1" applyAlignment="1" applyProtection="1">
      <alignment horizontal="right" vertical="center"/>
      <protection locked="0"/>
    </xf>
    <xf numFmtId="1" fontId="3" fillId="0" borderId="2" xfId="4" applyNumberFormat="1" applyFont="1" applyBorder="1" applyAlignment="1" applyProtection="1">
      <alignment vertical="center"/>
      <protection locked="0"/>
    </xf>
    <xf numFmtId="37" fontId="28" fillId="0" borderId="2" xfId="4" applyNumberFormat="1" applyFont="1" applyBorder="1" applyAlignment="1" applyProtection="1">
      <alignment horizontal="left" vertical="center"/>
      <protection locked="0"/>
    </xf>
    <xf numFmtId="37" fontId="30" fillId="0" borderId="0" xfId="4" applyNumberFormat="1" applyFont="1" applyAlignment="1" applyProtection="1">
      <alignment horizontal="left" vertical="center"/>
      <protection locked="0"/>
    </xf>
    <xf numFmtId="3" fontId="3" fillId="0" borderId="0" xfId="4" applyNumberFormat="1" applyFont="1" applyAlignment="1" applyProtection="1">
      <alignment vertical="center"/>
      <protection locked="0"/>
    </xf>
    <xf numFmtId="3" fontId="4" fillId="0" borderId="0" xfId="4" quotePrefix="1" applyNumberFormat="1" applyFont="1" applyAlignment="1" applyProtection="1">
      <alignment vertical="center"/>
      <protection locked="0"/>
    </xf>
    <xf numFmtId="3" fontId="4" fillId="0" borderId="0" xfId="4" applyNumberFormat="1" applyFont="1" applyAlignment="1" applyProtection="1">
      <alignment horizontal="left" vertical="center"/>
      <protection locked="0"/>
    </xf>
    <xf numFmtId="37" fontId="28" fillId="0" borderId="2" xfId="4" applyNumberFormat="1" applyFont="1" applyBorder="1" applyAlignment="1" applyProtection="1">
      <alignment horizontal="left" vertical="center" indent="1"/>
      <protection locked="0"/>
    </xf>
    <xf numFmtId="3" fontId="4" fillId="0" borderId="0" xfId="4" quotePrefix="1" applyNumberFormat="1" applyFont="1" applyAlignment="1" applyProtection="1">
      <alignment horizontal="left" vertical="center"/>
      <protection locked="0"/>
    </xf>
    <xf numFmtId="3" fontId="3" fillId="0" borderId="0" xfId="4" applyNumberFormat="1" applyFont="1" applyAlignment="1" applyProtection="1">
      <alignment horizontal="right" vertical="center"/>
      <protection locked="0"/>
    </xf>
    <xf numFmtId="3" fontId="3" fillId="0" borderId="0" xfId="4" quotePrefix="1" applyNumberFormat="1" applyFont="1" applyAlignment="1" applyProtection="1">
      <alignment horizontal="right" vertical="center"/>
      <protection locked="0"/>
    </xf>
    <xf numFmtId="3" fontId="4" fillId="0" borderId="0" xfId="4" applyNumberFormat="1" applyFont="1" applyAlignment="1" applyProtection="1">
      <alignment vertical="center"/>
      <protection locked="0"/>
    </xf>
    <xf numFmtId="3" fontId="3" fillId="0" borderId="0" xfId="4" applyNumberFormat="1" applyFont="1" applyAlignment="1" applyProtection="1">
      <alignment horizontal="left" vertical="center"/>
      <protection locked="0"/>
    </xf>
    <xf numFmtId="3" fontId="4" fillId="0" borderId="0" xfId="4" quotePrefix="1" applyNumberFormat="1" applyFont="1" applyAlignment="1">
      <alignment horizontal="left" vertical="center"/>
    </xf>
    <xf numFmtId="3" fontId="4" fillId="0" borderId="0" xfId="4" applyNumberFormat="1" applyFont="1" applyAlignment="1">
      <alignment horizontal="left" vertical="center"/>
    </xf>
    <xf numFmtId="37" fontId="30" fillId="0" borderId="4" xfId="4" applyNumberFormat="1" applyFont="1" applyBorder="1" applyAlignment="1" applyProtection="1">
      <alignment horizontal="left" vertical="center"/>
      <protection locked="0"/>
    </xf>
    <xf numFmtId="3" fontId="3" fillId="0" borderId="4" xfId="4" applyNumberFormat="1" applyFont="1" applyBorder="1" applyAlignment="1" applyProtection="1">
      <alignment vertical="center"/>
      <protection locked="0"/>
    </xf>
    <xf numFmtId="3" fontId="4" fillId="0" borderId="4" xfId="4" quotePrefix="1" applyNumberFormat="1" applyFont="1" applyBorder="1" applyAlignment="1" applyProtection="1">
      <alignment vertical="center"/>
      <protection locked="0"/>
    </xf>
    <xf numFmtId="37" fontId="28" fillId="0" borderId="3" xfId="4" applyNumberFormat="1" applyFont="1" applyBorder="1" applyAlignment="1" applyProtection="1">
      <alignment horizontal="left" vertical="center"/>
      <protection locked="0"/>
    </xf>
    <xf numFmtId="0" fontId="4" fillId="0" borderId="0" xfId="4" applyFont="1" applyAlignment="1">
      <alignment vertical="center"/>
    </xf>
    <xf numFmtId="0" fontId="4" fillId="0" borderId="0" xfId="4" quotePrefix="1" applyFont="1" applyAlignment="1">
      <alignment vertical="center"/>
    </xf>
    <xf numFmtId="3" fontId="28" fillId="0" borderId="3" xfId="4" applyNumberFormat="1" applyFont="1" applyBorder="1" applyAlignment="1" applyProtection="1">
      <alignment horizontal="left" vertical="center"/>
      <protection locked="0"/>
    </xf>
    <xf numFmtId="3" fontId="30" fillId="0" borderId="0" xfId="4" applyNumberFormat="1" applyFont="1" applyAlignment="1" applyProtection="1">
      <alignment horizontal="left" vertical="center"/>
      <protection locked="0"/>
    </xf>
    <xf numFmtId="3" fontId="28" fillId="0" borderId="2" xfId="4" applyNumberFormat="1" applyFont="1" applyBorder="1" applyAlignment="1" applyProtection="1">
      <alignment horizontal="left" vertical="center"/>
      <protection locked="0"/>
    </xf>
    <xf numFmtId="0" fontId="3" fillId="0" borderId="0" xfId="4" applyFont="1" applyAlignment="1" applyProtection="1">
      <alignment horizontal="left" vertical="center"/>
      <protection locked="0"/>
    </xf>
    <xf numFmtId="3" fontId="3" fillId="0" borderId="9" xfId="4" applyNumberFormat="1" applyFont="1" applyBorder="1" applyAlignment="1" applyProtection="1">
      <alignment vertical="center"/>
      <protection locked="0"/>
    </xf>
    <xf numFmtId="3" fontId="4" fillId="0" borderId="9" xfId="4" quotePrefix="1" applyNumberFormat="1" applyFont="1" applyBorder="1" applyAlignment="1" applyProtection="1">
      <alignment horizontal="left" vertical="center"/>
      <protection locked="0"/>
    </xf>
    <xf numFmtId="3" fontId="28" fillId="0" borderId="2" xfId="4" applyNumberFormat="1" applyFont="1" applyBorder="1" applyAlignment="1" applyProtection="1">
      <alignment horizontal="left" vertical="center" indent="1"/>
      <protection locked="0"/>
    </xf>
    <xf numFmtId="3" fontId="28" fillId="0" borderId="2" xfId="4" applyNumberFormat="1" applyFont="1" applyBorder="1" applyAlignment="1" applyProtection="1">
      <alignment horizontal="left" vertical="center" indent="2"/>
      <protection locked="0"/>
    </xf>
    <xf numFmtId="3" fontId="28" fillId="0" borderId="2" xfId="4" applyNumberFormat="1" applyFont="1" applyBorder="1" applyAlignment="1" applyProtection="1">
      <alignment horizontal="left" vertical="center" indent="3"/>
      <protection locked="0"/>
    </xf>
    <xf numFmtId="3" fontId="28" fillId="0" borderId="3" xfId="4" applyNumberFormat="1" applyFont="1" applyBorder="1" applyAlignment="1" applyProtection="1">
      <alignment horizontal="left" vertical="center" indent="3"/>
      <protection locked="0"/>
    </xf>
    <xf numFmtId="3" fontId="30" fillId="0" borderId="3" xfId="4" applyNumberFormat="1" applyFont="1" applyBorder="1" applyAlignment="1" applyProtection="1">
      <alignment horizontal="left" vertical="center"/>
      <protection locked="0"/>
    </xf>
    <xf numFmtId="3" fontId="3" fillId="0" borderId="3" xfId="4" applyNumberFormat="1" applyFont="1" applyBorder="1" applyAlignment="1" applyProtection="1">
      <alignment vertical="center"/>
      <protection locked="0"/>
    </xf>
    <xf numFmtId="0" fontId="3" fillId="0" borderId="0" xfId="4" applyFont="1"/>
    <xf numFmtId="0" fontId="3" fillId="0" borderId="5" xfId="4" applyFont="1" applyBorder="1" applyAlignment="1">
      <alignment horizontal="center" vertical="center"/>
    </xf>
    <xf numFmtId="0" fontId="3" fillId="0" borderId="5" xfId="4" applyFont="1" applyBorder="1" applyAlignment="1">
      <alignment vertical="center"/>
    </xf>
    <xf numFmtId="3" fontId="3" fillId="0" borderId="5" xfId="9" quotePrefix="1" applyNumberFormat="1" applyFont="1" applyBorder="1" applyAlignment="1">
      <alignment horizontal="right" vertical="center"/>
    </xf>
    <xf numFmtId="0" fontId="4" fillId="0" borderId="5" xfId="4" applyFont="1" applyBorder="1" applyAlignment="1">
      <alignment horizontal="right" vertical="center"/>
    </xf>
    <xf numFmtId="0" fontId="4" fillId="0" borderId="5" xfId="4" applyFont="1" applyBorder="1" applyAlignment="1">
      <alignment vertical="center"/>
    </xf>
    <xf numFmtId="0" fontId="3" fillId="0" borderId="5" xfId="4" applyFont="1" applyBorder="1" applyAlignment="1">
      <alignment horizontal="left" vertical="center"/>
    </xf>
    <xf numFmtId="0" fontId="3" fillId="0" borderId="6" xfId="4" applyFont="1" applyBorder="1" applyAlignment="1">
      <alignment vertical="center"/>
    </xf>
    <xf numFmtId="3" fontId="3" fillId="0" borderId="6" xfId="10" applyNumberFormat="1" applyFont="1" applyBorder="1" applyAlignment="1">
      <alignment horizontal="right" vertical="center"/>
    </xf>
    <xf numFmtId="0" fontId="4" fillId="0" borderId="6" xfId="4" quotePrefix="1" applyFont="1" applyBorder="1" applyAlignment="1">
      <alignment vertical="center"/>
    </xf>
    <xf numFmtId="3" fontId="3" fillId="0" borderId="0" xfId="10" applyNumberFormat="1" applyFont="1" applyBorder="1" applyAlignment="1">
      <alignment horizontal="right" vertical="center"/>
    </xf>
    <xf numFmtId="3" fontId="3" fillId="0" borderId="0" xfId="10" applyNumberFormat="1" applyFont="1" applyFill="1" applyBorder="1" applyAlignment="1">
      <alignment horizontal="right" vertical="center"/>
    </xf>
    <xf numFmtId="0" fontId="3" fillId="0" borderId="6" xfId="4" applyFont="1" applyBorder="1" applyAlignment="1">
      <alignment horizontal="left" vertical="center"/>
    </xf>
    <xf numFmtId="0" fontId="4" fillId="0" borderId="4" xfId="4" quotePrefix="1" applyFont="1" applyBorder="1" applyAlignment="1">
      <alignment vertical="center"/>
    </xf>
    <xf numFmtId="0" fontId="3" fillId="0" borderId="5" xfId="4" applyFont="1" applyBorder="1" applyAlignment="1">
      <alignment horizontal="left" vertical="center" indent="1"/>
    </xf>
    <xf numFmtId="0" fontId="3" fillId="0" borderId="4" xfId="4" applyFont="1" applyBorder="1" applyAlignment="1">
      <alignment vertical="center"/>
    </xf>
    <xf numFmtId="3" fontId="3" fillId="0" borderId="5" xfId="10" applyNumberFormat="1" applyFont="1" applyBorder="1" applyAlignment="1">
      <alignment horizontal="right" vertical="center"/>
    </xf>
    <xf numFmtId="0" fontId="31" fillId="0" borderId="0" xfId="11" applyFont="1" applyAlignment="1">
      <alignment vertical="center"/>
    </xf>
    <xf numFmtId="49" fontId="31" fillId="0" borderId="0" xfId="11" applyNumberFormat="1" applyFont="1" applyAlignment="1">
      <alignment vertical="center"/>
    </xf>
    <xf numFmtId="49" fontId="3" fillId="0" borderId="6" xfId="11" applyNumberFormat="1" applyFont="1" applyBorder="1" applyAlignment="1">
      <alignment horizontal="center" vertical="center"/>
    </xf>
    <xf numFmtId="49" fontId="32" fillId="0" borderId="5" xfId="11" applyNumberFormat="1" applyFont="1" applyBorder="1" applyAlignment="1">
      <alignment horizontal="left" vertical="center"/>
    </xf>
    <xf numFmtId="49" fontId="31" fillId="0" borderId="5" xfId="11" applyNumberFormat="1" applyFont="1" applyBorder="1" applyAlignment="1">
      <alignment horizontal="right" vertical="center"/>
    </xf>
    <xf numFmtId="165" fontId="31" fillId="0" borderId="0" xfId="11" applyNumberFormat="1" applyFont="1" applyAlignment="1">
      <alignment vertical="center"/>
    </xf>
    <xf numFmtId="49" fontId="31" fillId="0" borderId="5" xfId="11" applyNumberFormat="1" applyFont="1" applyBorder="1" applyAlignment="1">
      <alignment horizontal="left" vertical="center"/>
    </xf>
    <xf numFmtId="0" fontId="32" fillId="0" borderId="0" xfId="11" applyFont="1" applyAlignment="1">
      <alignment horizontal="left" vertical="center"/>
    </xf>
    <xf numFmtId="3" fontId="31" fillId="0" borderId="0" xfId="12" applyNumberFormat="1" applyFont="1" applyAlignment="1">
      <alignment horizontal="right" vertical="center"/>
    </xf>
    <xf numFmtId="49" fontId="32" fillId="0" borderId="0" xfId="11" applyNumberFormat="1" applyFont="1" applyAlignment="1">
      <alignment horizontal="left" vertical="center"/>
    </xf>
    <xf numFmtId="49" fontId="31" fillId="0" borderId="5" xfId="11" applyNumberFormat="1" applyFont="1" applyBorder="1" applyAlignment="1">
      <alignment horizontal="left" vertical="center" indent="1"/>
    </xf>
    <xf numFmtId="49" fontId="31" fillId="0" borderId="0" xfId="12" applyNumberFormat="1" applyFont="1" applyAlignment="1">
      <alignment horizontal="right" vertical="center"/>
    </xf>
    <xf numFmtId="0" fontId="32" fillId="0" borderId="4" xfId="11" applyFont="1" applyBorder="1" applyAlignment="1">
      <alignment horizontal="left" vertical="center"/>
    </xf>
    <xf numFmtId="3" fontId="31" fillId="0" borderId="4" xfId="12" applyNumberFormat="1" applyFont="1" applyBorder="1" applyAlignment="1">
      <alignment horizontal="right" vertical="center"/>
    </xf>
    <xf numFmtId="49" fontId="32" fillId="0" borderId="4" xfId="11" applyNumberFormat="1" applyFont="1" applyBorder="1" applyAlignment="1">
      <alignment horizontal="left" vertical="center"/>
    </xf>
    <xf numFmtId="49" fontId="31" fillId="0" borderId="0" xfId="11" applyNumberFormat="1" applyFont="1" applyAlignment="1">
      <alignment horizontal="left" vertical="center"/>
    </xf>
    <xf numFmtId="49" fontId="3" fillId="2" borderId="10" xfId="11" applyNumberFormat="1" applyFont="1" applyFill="1" applyBorder="1" applyAlignment="1">
      <alignment horizontal="left" vertical="center" indent="2"/>
    </xf>
    <xf numFmtId="49" fontId="3" fillId="2" borderId="10" xfId="11" applyNumberFormat="1" applyFont="1" applyFill="1" applyBorder="1" applyAlignment="1">
      <alignment horizontal="left" vertical="center" indent="3"/>
    </xf>
    <xf numFmtId="3" fontId="3" fillId="0" borderId="0" xfId="13" applyNumberFormat="1" applyFont="1" applyAlignment="1">
      <alignment horizontal="right"/>
    </xf>
    <xf numFmtId="3" fontId="4" fillId="0" borderId="0" xfId="13" applyNumberFormat="1" applyFont="1" applyAlignment="1">
      <alignment horizontal="left"/>
    </xf>
    <xf numFmtId="3" fontId="3" fillId="0" borderId="10" xfId="13" applyNumberFormat="1" applyFont="1" applyBorder="1" applyAlignment="1">
      <alignment horizontal="right"/>
    </xf>
    <xf numFmtId="3" fontId="4" fillId="0" borderId="10" xfId="13" applyNumberFormat="1" applyFont="1" applyBorder="1" applyAlignment="1">
      <alignment horizontal="left"/>
    </xf>
    <xf numFmtId="0" fontId="31" fillId="0" borderId="0" xfId="11" applyFont="1" applyAlignment="1">
      <alignment horizontal="right" vertical="center"/>
    </xf>
    <xf numFmtId="49" fontId="31" fillId="0" borderId="5" xfId="11" applyNumberFormat="1" applyFont="1" applyBorder="1" applyAlignment="1">
      <alignment horizontal="center" vertical="center"/>
    </xf>
    <xf numFmtId="3" fontId="31" fillId="0" borderId="5" xfId="12" applyNumberFormat="1" applyFont="1" applyBorder="1" applyAlignment="1">
      <alignment horizontal="right" vertical="center"/>
    </xf>
    <xf numFmtId="0" fontId="31" fillId="0" borderId="0" xfId="11" applyFont="1"/>
    <xf numFmtId="49" fontId="31" fillId="0" borderId="5" xfId="11" applyNumberFormat="1" applyFont="1" applyBorder="1" applyAlignment="1">
      <alignment vertical="center"/>
    </xf>
    <xf numFmtId="49" fontId="31" fillId="0" borderId="5" xfId="12" applyNumberFormat="1" applyFont="1" applyBorder="1" applyAlignment="1">
      <alignment horizontal="right" vertical="center"/>
    </xf>
    <xf numFmtId="0" fontId="31" fillId="0" borderId="4" xfId="11" applyFont="1" applyBorder="1" applyAlignment="1">
      <alignment horizontal="left" vertical="center"/>
    </xf>
    <xf numFmtId="0" fontId="31" fillId="0" borderId="4" xfId="11" applyFont="1" applyBorder="1" applyAlignment="1">
      <alignment horizontal="left" vertical="center" indent="1"/>
    </xf>
    <xf numFmtId="0" fontId="31" fillId="0" borderId="5" xfId="11" applyFont="1" applyBorder="1" applyAlignment="1">
      <alignment horizontal="left" vertical="center" indent="1"/>
    </xf>
    <xf numFmtId="0" fontId="31" fillId="0" borderId="5" xfId="11" applyFont="1" applyBorder="1" applyAlignment="1">
      <alignment horizontal="left" vertical="center"/>
    </xf>
    <xf numFmtId="49" fontId="31" fillId="0" borderId="0" xfId="12" quotePrefix="1" applyNumberFormat="1" applyFont="1" applyAlignment="1">
      <alignment horizontal="right" vertical="center"/>
    </xf>
    <xf numFmtId="3" fontId="31" fillId="0" borderId="6" xfId="12" applyNumberFormat="1" applyFont="1" applyBorder="1" applyAlignment="1">
      <alignment horizontal="right" vertical="center"/>
    </xf>
    <xf numFmtId="49" fontId="32" fillId="0" borderId="6" xfId="11" applyNumberFormat="1" applyFont="1" applyBorder="1" applyAlignment="1">
      <alignment horizontal="left" vertical="center"/>
    </xf>
    <xf numFmtId="49" fontId="31" fillId="0" borderId="5" xfId="11" applyNumberFormat="1" applyFont="1" applyBorder="1" applyAlignment="1">
      <alignment horizontal="left" vertical="center" indent="2"/>
    </xf>
    <xf numFmtId="49" fontId="31" fillId="0" borderId="5" xfId="11" applyNumberFormat="1" applyFont="1" applyBorder="1" applyAlignment="1">
      <alignment horizontal="left" vertical="center" indent="3"/>
    </xf>
    <xf numFmtId="0" fontId="31" fillId="0" borderId="0" xfId="11" applyFont="1" applyAlignment="1">
      <alignment horizontal="left" vertical="center" wrapText="1"/>
    </xf>
    <xf numFmtId="49" fontId="31" fillId="0" borderId="0" xfId="11" applyNumberFormat="1" applyFont="1" applyAlignment="1">
      <alignment horizontal="left" vertical="center" wrapText="1"/>
    </xf>
    <xf numFmtId="0" fontId="31" fillId="0" borderId="0" xfId="11" applyFont="1" applyAlignment="1">
      <alignment horizontal="left" vertical="center"/>
    </xf>
    <xf numFmtId="165" fontId="31" fillId="0" borderId="0" xfId="12" applyNumberFormat="1" applyFont="1" applyAlignment="1">
      <alignment horizontal="right"/>
    </xf>
    <xf numFmtId="49" fontId="31" fillId="0" borderId="0" xfId="11" applyNumberFormat="1" applyFont="1"/>
    <xf numFmtId="49" fontId="31" fillId="0" borderId="5" xfId="12" applyNumberFormat="1" applyFont="1" applyFill="1" applyBorder="1" applyAlignment="1">
      <alignment horizontal="right"/>
    </xf>
    <xf numFmtId="49" fontId="31" fillId="0" borderId="4" xfId="11" applyNumberFormat="1" applyFont="1" applyBorder="1" applyAlignment="1">
      <alignment horizontal="left" vertical="center"/>
    </xf>
    <xf numFmtId="3" fontId="31" fillId="0" borderId="0" xfId="12" applyNumberFormat="1" applyFont="1" applyFill="1" applyAlignment="1">
      <alignment horizontal="right"/>
    </xf>
    <xf numFmtId="49" fontId="31" fillId="0" borderId="0" xfId="12" quotePrefix="1" applyNumberFormat="1" applyFont="1" applyFill="1" applyAlignment="1">
      <alignment horizontal="right" vertical="center"/>
    </xf>
    <xf numFmtId="3" fontId="31" fillId="0" borderId="5" xfId="12" applyNumberFormat="1" applyFont="1" applyFill="1" applyBorder="1" applyAlignment="1">
      <alignment horizontal="right"/>
    </xf>
    <xf numFmtId="49" fontId="31" fillId="0" borderId="0" xfId="12" applyNumberFormat="1" applyFont="1" applyFill="1" applyAlignment="1">
      <alignment horizontal="right"/>
    </xf>
    <xf numFmtId="37" fontId="3" fillId="0" borderId="1" xfId="1" applyFont="1" applyBorder="1" applyAlignment="1" applyProtection="1">
      <alignment horizontal="right" vertical="center"/>
      <protection locked="0"/>
    </xf>
    <xf numFmtId="37" fontId="4" fillId="0" borderId="1" xfId="1" applyFont="1" applyBorder="1" applyAlignment="1" applyProtection="1">
      <alignment horizontal="centerContinuous" vertical="center"/>
      <protection locked="0"/>
    </xf>
    <xf numFmtId="37" fontId="3" fillId="0" borderId="3" xfId="1" applyFont="1" applyBorder="1" applyAlignment="1" applyProtection="1">
      <alignment horizontal="center" vertical="center"/>
      <protection locked="0"/>
    </xf>
    <xf numFmtId="37" fontId="3" fillId="0" borderId="3" xfId="1" applyFont="1" applyBorder="1" applyAlignment="1" applyProtection="1">
      <alignment horizontal="right" vertical="center"/>
      <protection locked="0"/>
    </xf>
    <xf numFmtId="1" fontId="3" fillId="0" borderId="2" xfId="1" applyNumberFormat="1" applyFont="1" applyBorder="1" applyAlignment="1" applyProtection="1">
      <alignment horizontal="right" vertical="center"/>
      <protection locked="0"/>
    </xf>
    <xf numFmtId="49" fontId="4" fillId="0" borderId="2" xfId="1" applyNumberFormat="1" applyFont="1" applyBorder="1" applyAlignment="1" applyProtection="1">
      <alignment horizontal="right" vertical="center"/>
      <protection locked="0"/>
    </xf>
    <xf numFmtId="1" fontId="4" fillId="0" borderId="2" xfId="1" applyNumberFormat="1" applyFont="1" applyBorder="1" applyAlignment="1" applyProtection="1">
      <alignment horizontal="right" vertical="center"/>
      <protection locked="0"/>
    </xf>
    <xf numFmtId="1" fontId="3" fillId="0" borderId="2" xfId="1" quotePrefix="1" applyNumberFormat="1" applyFont="1" applyBorder="1" applyAlignment="1" applyProtection="1">
      <alignment horizontal="right" vertical="center"/>
      <protection locked="0"/>
    </xf>
    <xf numFmtId="1" fontId="3" fillId="0" borderId="3" xfId="1" applyNumberFormat="1" applyFont="1" applyBorder="1" applyAlignment="1" applyProtection="1">
      <alignment horizontal="right" vertical="center"/>
      <protection locked="0"/>
    </xf>
    <xf numFmtId="0" fontId="3" fillId="0" borderId="2" xfId="5" applyFont="1" applyBorder="1" applyAlignment="1">
      <alignment vertical="center"/>
    </xf>
    <xf numFmtId="164" fontId="3" fillId="0" borderId="0" xfId="1" applyNumberFormat="1" applyFont="1" applyAlignment="1" applyProtection="1">
      <alignment vertical="center"/>
      <protection locked="0"/>
    </xf>
    <xf numFmtId="3" fontId="3" fillId="0" borderId="0" xfId="1" applyNumberFormat="1" applyFont="1" applyAlignment="1" applyProtection="1">
      <alignment horizontal="right" vertical="center"/>
      <protection locked="0"/>
    </xf>
    <xf numFmtId="49" fontId="4" fillId="0" borderId="0" xfId="1" applyNumberFormat="1" applyFont="1" applyAlignment="1" applyProtection="1">
      <alignment horizontal="left" vertical="center"/>
      <protection locked="0"/>
    </xf>
    <xf numFmtId="3" fontId="4" fillId="0" borderId="0" xfId="1" applyNumberFormat="1" applyFont="1" applyAlignment="1" applyProtection="1">
      <alignment horizontal="left" vertical="center"/>
      <protection locked="0"/>
    </xf>
    <xf numFmtId="3" fontId="3" fillId="0" borderId="0" xfId="1" applyNumberFormat="1" applyFont="1" applyAlignment="1" applyProtection="1">
      <alignment vertical="center"/>
      <protection locked="0"/>
    </xf>
    <xf numFmtId="49" fontId="4" fillId="0" borderId="0" xfId="1" quotePrefix="1" applyNumberFormat="1" applyFont="1" applyAlignment="1" applyProtection="1">
      <alignment horizontal="left" vertical="center"/>
      <protection locked="0"/>
    </xf>
    <xf numFmtId="1" fontId="34" fillId="0" borderId="0" xfId="1" quotePrefix="1" applyNumberFormat="1" applyFont="1" applyAlignment="1" applyProtection="1">
      <alignment horizontal="right" vertical="center"/>
      <protection locked="0"/>
    </xf>
    <xf numFmtId="49" fontId="4" fillId="0" borderId="0" xfId="1" applyNumberFormat="1" applyFont="1" applyAlignment="1" applyProtection="1">
      <alignment vertical="center"/>
      <protection locked="0"/>
    </xf>
    <xf numFmtId="3" fontId="34" fillId="0" borderId="0" xfId="1" quotePrefix="1" applyNumberFormat="1" applyFont="1" applyAlignment="1" applyProtection="1">
      <alignment horizontal="right" vertical="center"/>
      <protection locked="0"/>
    </xf>
    <xf numFmtId="37" fontId="3" fillId="0" borderId="2" xfId="1" applyFont="1" applyBorder="1" applyAlignment="1" applyProtection="1">
      <alignment horizontal="left" vertical="center"/>
      <protection locked="0"/>
    </xf>
    <xf numFmtId="164" fontId="3" fillId="0" borderId="1" xfId="1" applyNumberFormat="1" applyFont="1" applyBorder="1" applyAlignment="1" applyProtection="1">
      <alignment vertical="center"/>
      <protection locked="0"/>
    </xf>
    <xf numFmtId="3" fontId="3" fillId="0" borderId="1" xfId="1" applyNumberFormat="1" applyFont="1" applyBorder="1" applyAlignment="1" applyProtection="1">
      <alignment horizontal="right" vertical="center"/>
      <protection locked="0"/>
    </xf>
    <xf numFmtId="3" fontId="4" fillId="0" borderId="1" xfId="1" applyNumberFormat="1" applyFont="1" applyBorder="1" applyAlignment="1" applyProtection="1">
      <alignment horizontal="left" vertical="center"/>
      <protection locked="0"/>
    </xf>
    <xf numFmtId="49" fontId="4" fillId="0" borderId="1" xfId="1" applyNumberFormat="1" applyFont="1" applyBorder="1" applyAlignment="1" applyProtection="1">
      <alignment horizontal="left" vertical="center"/>
      <protection locked="0"/>
    </xf>
    <xf numFmtId="49" fontId="4" fillId="0" borderId="1" xfId="1" quotePrefix="1" applyNumberFormat="1" applyFont="1" applyBorder="1" applyAlignment="1" applyProtection="1">
      <alignment horizontal="left" vertical="center"/>
      <protection locked="0"/>
    </xf>
    <xf numFmtId="3" fontId="3" fillId="0" borderId="1" xfId="1" applyNumberFormat="1" applyFont="1" applyBorder="1" applyAlignment="1" applyProtection="1">
      <alignment vertical="center"/>
      <protection locked="0"/>
    </xf>
    <xf numFmtId="37" fontId="3" fillId="0" borderId="0" xfId="1" applyFont="1" applyAlignment="1" applyProtection="1">
      <alignment horizontal="left" vertical="center"/>
      <protection locked="0"/>
    </xf>
    <xf numFmtId="37" fontId="3" fillId="0" borderId="2" xfId="1" applyFont="1" applyBorder="1" applyAlignment="1" applyProtection="1">
      <alignment horizontal="left" vertical="center" indent="1"/>
      <protection locked="0"/>
    </xf>
    <xf numFmtId="3" fontId="3" fillId="0" borderId="0" xfId="1" quotePrefix="1" applyNumberFormat="1" applyFont="1" applyAlignment="1" applyProtection="1">
      <alignment horizontal="right" vertical="center"/>
      <protection locked="0"/>
    </xf>
    <xf numFmtId="3" fontId="4" fillId="0" borderId="0" xfId="1" quotePrefix="1" applyNumberFormat="1" applyFont="1" applyAlignment="1" applyProtection="1">
      <alignment horizontal="left" vertical="center"/>
      <protection locked="0"/>
    </xf>
    <xf numFmtId="164" fontId="3" fillId="0" borderId="3" xfId="1" applyNumberFormat="1" applyFont="1" applyBorder="1" applyAlignment="1" applyProtection="1">
      <alignment vertical="center"/>
      <protection locked="0"/>
    </xf>
    <xf numFmtId="3" fontId="3" fillId="0" borderId="2" xfId="1" applyNumberFormat="1" applyFont="1" applyBorder="1" applyAlignment="1" applyProtection="1">
      <alignment horizontal="right" vertical="center"/>
      <protection locked="0"/>
    </xf>
    <xf numFmtId="49" fontId="4" fillId="0" borderId="2" xfId="1" applyNumberFormat="1" applyFont="1" applyBorder="1" applyAlignment="1" applyProtection="1">
      <alignment horizontal="left" vertical="center"/>
      <protection locked="0"/>
    </xf>
    <xf numFmtId="3" fontId="4" fillId="0" borderId="2" xfId="1" applyNumberFormat="1" applyFont="1" applyBorder="1" applyAlignment="1" applyProtection="1">
      <alignment horizontal="left" vertical="center"/>
      <protection locked="0"/>
    </xf>
    <xf numFmtId="3" fontId="3" fillId="0" borderId="2" xfId="1" applyNumberFormat="1" applyFont="1" applyBorder="1" applyAlignment="1" applyProtection="1">
      <alignment vertical="center"/>
      <protection locked="0"/>
    </xf>
    <xf numFmtId="0" fontId="35" fillId="0" borderId="0" xfId="5" applyFont="1"/>
    <xf numFmtId="3" fontId="31" fillId="0" borderId="0" xfId="12" applyNumberFormat="1" applyFont="1" applyBorder="1" applyAlignment="1">
      <alignment horizontal="right" vertical="center"/>
    </xf>
    <xf numFmtId="0" fontId="4" fillId="0" borderId="0" xfId="5" applyFont="1" applyAlignment="1">
      <alignment vertical="center"/>
    </xf>
    <xf numFmtId="0" fontId="3" fillId="0" borderId="0" xfId="5" applyFont="1" applyAlignment="1">
      <alignment vertical="center"/>
    </xf>
    <xf numFmtId="0" fontId="4" fillId="0" borderId="1" xfId="5" applyFont="1" applyBorder="1" applyAlignment="1">
      <alignment vertical="center"/>
    </xf>
    <xf numFmtId="37" fontId="4" fillId="0" borderId="0" xfId="5" applyNumberFormat="1" applyFont="1" applyAlignment="1" applyProtection="1">
      <alignment horizontal="left" vertical="center"/>
      <protection locked="0"/>
    </xf>
    <xf numFmtId="37" fontId="3" fillId="0" borderId="0" xfId="1" applyFont="1" applyAlignment="1" applyProtection="1">
      <alignment horizontal="center" vertical="center"/>
      <protection locked="0"/>
    </xf>
    <xf numFmtId="0" fontId="3" fillId="0" borderId="0" xfId="5" applyFont="1" applyAlignment="1">
      <alignment horizontal="center" vertical="center"/>
    </xf>
    <xf numFmtId="37" fontId="3" fillId="0" borderId="2" xfId="1" applyFont="1" applyBorder="1" applyAlignment="1" applyProtection="1">
      <alignment horizontal="center" vertical="center"/>
      <protection locked="0"/>
    </xf>
    <xf numFmtId="37" fontId="3" fillId="0" borderId="0" xfId="5" applyNumberFormat="1" applyFont="1" applyAlignment="1" applyProtection="1">
      <alignment horizontal="left" vertical="center"/>
      <protection locked="0"/>
    </xf>
    <xf numFmtId="37" fontId="15" fillId="0" borderId="0" xfId="0" applyNumberFormat="1" applyFont="1" applyAlignment="1" applyProtection="1">
      <alignment horizontal="left" vertical="center"/>
      <protection locked="0"/>
    </xf>
    <xf numFmtId="0" fontId="14" fillId="0" borderId="0" xfId="0" applyFont="1" applyAlignment="1" applyProtection="1">
      <alignment horizontal="left" vertical="center"/>
      <protection locked="0"/>
    </xf>
    <xf numFmtId="3" fontId="14" fillId="0" borderId="2" xfId="0" applyNumberFormat="1"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0" fontId="15" fillId="0" borderId="1" xfId="0" applyFont="1" applyBorder="1" applyAlignment="1" applyProtection="1">
      <alignment horizontal="left" vertical="center"/>
      <protection locked="0"/>
    </xf>
    <xf numFmtId="0" fontId="14" fillId="0" borderId="1" xfId="0" applyFont="1" applyBorder="1" applyAlignment="1" applyProtection="1">
      <alignment horizontal="left" vertical="center"/>
      <protection locked="0"/>
    </xf>
    <xf numFmtId="0" fontId="15" fillId="0" borderId="0" xfId="0" applyFont="1" applyAlignment="1" applyProtection="1">
      <alignment horizontal="left" vertical="center"/>
      <protection locked="0"/>
    </xf>
    <xf numFmtId="37" fontId="14" fillId="0" borderId="0" xfId="0" applyNumberFormat="1" applyFont="1" applyAlignment="1" applyProtection="1">
      <alignment horizontal="left" vertical="center"/>
      <protection locked="0"/>
    </xf>
    <xf numFmtId="0" fontId="14" fillId="0" borderId="0" xfId="0" applyFont="1" applyAlignment="1">
      <alignment horizontal="left" vertical="center"/>
    </xf>
    <xf numFmtId="0" fontId="14" fillId="0" borderId="0" xfId="0" applyFont="1"/>
    <xf numFmtId="0" fontId="7" fillId="0" borderId="0" xfId="0" applyFont="1" applyAlignment="1" applyProtection="1">
      <alignment horizontal="left" vertical="center"/>
      <protection locked="0"/>
    </xf>
    <xf numFmtId="3" fontId="6" fillId="0" borderId="2" xfId="0" applyNumberFormat="1" applyFont="1" applyBorder="1" applyAlignment="1" applyProtection="1">
      <alignment horizontal="center" vertical="center"/>
      <protection locked="0"/>
    </xf>
    <xf numFmtId="0" fontId="7" fillId="0" borderId="1" xfId="0" applyFont="1" applyBorder="1" applyAlignment="1" applyProtection="1">
      <alignment horizontal="left" vertical="center"/>
      <protection locked="0"/>
    </xf>
    <xf numFmtId="37" fontId="7" fillId="0" borderId="0" xfId="0" applyNumberFormat="1" applyFont="1" applyAlignment="1" applyProtection="1">
      <alignment horizontal="left" vertical="center"/>
      <protection locked="0"/>
    </xf>
    <xf numFmtId="37" fontId="6" fillId="0" borderId="0" xfId="0" applyNumberFormat="1" applyFont="1" applyAlignment="1" applyProtection="1">
      <alignment horizontal="left" vertical="center"/>
      <protection locked="0"/>
    </xf>
    <xf numFmtId="0" fontId="6" fillId="0" borderId="0" xfId="0" applyFont="1" applyAlignment="1" applyProtection="1">
      <alignment horizontal="left" vertical="center"/>
      <protection locked="0"/>
    </xf>
    <xf numFmtId="49" fontId="3" fillId="0" borderId="5" xfId="2" applyNumberFormat="1" applyFont="1" applyBorder="1" applyAlignment="1">
      <alignment horizontal="center" vertical="center"/>
    </xf>
    <xf numFmtId="49" fontId="3" fillId="0" borderId="4" xfId="2" applyNumberFormat="1" applyFont="1" applyBorder="1" applyAlignment="1">
      <alignment horizontal="center" vertical="center"/>
    </xf>
    <xf numFmtId="49" fontId="3" fillId="0" borderId="0" xfId="2" applyNumberFormat="1" applyFont="1" applyAlignment="1">
      <alignment horizontal="center" vertical="center"/>
    </xf>
    <xf numFmtId="49" fontId="3" fillId="0" borderId="0" xfId="2" applyNumberFormat="1" applyFont="1" applyAlignment="1">
      <alignment horizontal="right" vertical="center"/>
    </xf>
    <xf numFmtId="0" fontId="3" fillId="0" borderId="4" xfId="2" applyFont="1" applyBorder="1" applyAlignment="1">
      <alignment horizontal="center" vertical="center"/>
    </xf>
    <xf numFmtId="49" fontId="4" fillId="0" borderId="0" xfId="2" applyNumberFormat="1" applyFont="1" applyAlignment="1">
      <alignment horizontal="left" vertical="center"/>
    </xf>
    <xf numFmtId="49" fontId="4" fillId="0" borderId="0" xfId="2" applyNumberFormat="1" applyFont="1" applyAlignment="1">
      <alignment horizontal="left" vertical="center" wrapText="1"/>
    </xf>
    <xf numFmtId="49" fontId="4" fillId="0" borderId="6" xfId="2" applyNumberFormat="1" applyFont="1" applyBorder="1" applyAlignment="1">
      <alignment horizontal="left" vertical="center"/>
    </xf>
    <xf numFmtId="49" fontId="18" fillId="0" borderId="0" xfId="0" applyNumberFormat="1" applyFont="1" applyAlignment="1">
      <alignment horizontal="left" vertical="center"/>
    </xf>
    <xf numFmtId="49" fontId="17" fillId="0" borderId="5" xfId="0" applyNumberFormat="1" applyFont="1" applyBorder="1" applyAlignment="1">
      <alignment horizont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wrapText="1"/>
    </xf>
    <xf numFmtId="37" fontId="4" fillId="0" borderId="1" xfId="5" applyNumberFormat="1" applyFont="1" applyBorder="1" applyAlignment="1" applyProtection="1">
      <alignment horizontal="left" vertical="center"/>
      <protection locked="0"/>
    </xf>
    <xf numFmtId="0" fontId="3" fillId="0" borderId="1" xfId="5" applyFont="1" applyBorder="1" applyAlignment="1" applyProtection="1">
      <alignment horizontal="left" vertical="center"/>
      <protection locked="0"/>
    </xf>
    <xf numFmtId="37" fontId="3" fillId="0" borderId="0" xfId="5" applyNumberFormat="1" applyFont="1" applyAlignment="1" applyProtection="1">
      <alignment horizontal="center" vertical="center"/>
      <protection locked="0"/>
    </xf>
    <xf numFmtId="0" fontId="3" fillId="0" borderId="0" xfId="5" applyFont="1" applyAlignment="1" applyProtection="1">
      <alignment horizontal="center" vertical="center"/>
      <protection locked="0"/>
    </xf>
    <xf numFmtId="37" fontId="3" fillId="0" borderId="1" xfId="5" applyNumberFormat="1" applyFont="1" applyBorder="1" applyAlignment="1" applyProtection="1">
      <alignment horizontal="left" vertical="center"/>
      <protection locked="0"/>
    </xf>
    <xf numFmtId="0" fontId="3" fillId="0" borderId="0" xfId="5" applyFont="1" applyAlignment="1" applyProtection="1">
      <alignment horizontal="left" vertical="center"/>
      <protection locked="0"/>
    </xf>
    <xf numFmtId="37" fontId="22" fillId="0" borderId="1" xfId="4" applyNumberFormat="1" applyFont="1" applyBorder="1" applyAlignment="1" applyProtection="1">
      <alignment horizontal="left" vertical="center"/>
      <protection locked="0"/>
    </xf>
    <xf numFmtId="0" fontId="16" fillId="0" borderId="1" xfId="4" applyBorder="1" applyAlignment="1">
      <alignment vertical="center"/>
    </xf>
    <xf numFmtId="37" fontId="22" fillId="0" borderId="0" xfId="4" applyNumberFormat="1" applyFont="1" applyAlignment="1" applyProtection="1">
      <alignment horizontal="center" vertical="center"/>
      <protection locked="0"/>
    </xf>
    <xf numFmtId="0" fontId="16" fillId="0" borderId="0" xfId="4" applyAlignment="1">
      <alignment horizontal="center" vertical="center"/>
    </xf>
    <xf numFmtId="37" fontId="22" fillId="0" borderId="0" xfId="4" applyNumberFormat="1" applyFont="1" applyAlignment="1">
      <alignment horizontal="center" vertical="center"/>
    </xf>
    <xf numFmtId="0" fontId="16" fillId="0" borderId="0" xfId="4" applyAlignment="1">
      <alignment vertical="center"/>
    </xf>
    <xf numFmtId="37" fontId="16" fillId="0" borderId="3" xfId="4" applyNumberFormat="1" applyBorder="1" applyAlignment="1">
      <alignment vertical="center"/>
    </xf>
    <xf numFmtId="37" fontId="24" fillId="0" borderId="3" xfId="4" applyNumberFormat="1" applyFont="1" applyBorder="1" applyAlignment="1" applyProtection="1">
      <alignment horizontal="center" vertical="center"/>
      <protection locked="0"/>
    </xf>
    <xf numFmtId="0" fontId="16" fillId="0" borderId="3" xfId="4" applyBorder="1" applyAlignment="1">
      <alignment horizontal="center" vertical="center"/>
    </xf>
    <xf numFmtId="37" fontId="23" fillId="0" borderId="1" xfId="4" applyNumberFormat="1" applyFont="1" applyBorder="1" applyAlignment="1" applyProtection="1">
      <alignment horizontal="left" vertical="center"/>
      <protection locked="0"/>
    </xf>
    <xf numFmtId="37" fontId="23" fillId="0" borderId="0" xfId="4" applyNumberFormat="1" applyFont="1" applyAlignment="1" applyProtection="1">
      <alignment horizontal="left" vertical="center"/>
      <protection locked="0"/>
    </xf>
    <xf numFmtId="37" fontId="27" fillId="0" borderId="0" xfId="4" applyNumberFormat="1" applyFont="1" applyAlignment="1" applyProtection="1">
      <alignment horizontal="left" vertical="center"/>
      <protection locked="0"/>
    </xf>
    <xf numFmtId="0" fontId="25" fillId="0" borderId="0" xfId="4" applyFont="1" applyAlignment="1">
      <alignment horizontal="left" vertical="center"/>
    </xf>
    <xf numFmtId="0" fontId="9" fillId="0" borderId="0" xfId="4" applyFont="1" applyAlignment="1">
      <alignment vertical="center"/>
    </xf>
    <xf numFmtId="37" fontId="22" fillId="0" borderId="0" xfId="4" applyNumberFormat="1" applyFont="1" applyAlignment="1" applyProtection="1">
      <alignment horizontal="left" vertical="center"/>
      <protection locked="0"/>
    </xf>
    <xf numFmtId="0" fontId="23" fillId="0" borderId="0" xfId="4" applyFont="1" applyAlignment="1">
      <alignment horizontal="left" vertical="center"/>
    </xf>
    <xf numFmtId="37" fontId="28" fillId="0" borderId="0" xfId="4" applyNumberFormat="1" applyFont="1" applyAlignment="1" applyProtection="1">
      <alignment horizontal="left" vertical="center"/>
      <protection locked="0"/>
    </xf>
    <xf numFmtId="37" fontId="28" fillId="0" borderId="0" xfId="4" applyNumberFormat="1" applyFont="1" applyAlignment="1" applyProtection="1">
      <alignment horizontal="center" vertical="center"/>
      <protection locked="0"/>
    </xf>
    <xf numFmtId="0" fontId="3" fillId="0" borderId="0" xfId="4" applyFont="1" applyAlignment="1">
      <alignment horizontal="center" vertical="center"/>
    </xf>
    <xf numFmtId="0" fontId="3" fillId="0" borderId="0" xfId="4" applyFont="1" applyAlignment="1">
      <alignment vertical="center"/>
    </xf>
    <xf numFmtId="37" fontId="28" fillId="0" borderId="0" xfId="4" applyNumberFormat="1" applyFont="1" applyAlignment="1">
      <alignment horizontal="right" vertical="center"/>
    </xf>
    <xf numFmtId="37" fontId="29" fillId="0" borderId="0" xfId="4" applyNumberFormat="1" applyFont="1" applyAlignment="1" applyProtection="1">
      <alignment horizontal="left" vertical="center"/>
      <protection locked="0"/>
    </xf>
    <xf numFmtId="0" fontId="3" fillId="0" borderId="0" xfId="4" applyFont="1" applyAlignment="1">
      <alignment horizontal="left" vertical="center"/>
    </xf>
    <xf numFmtId="37" fontId="29" fillId="0" borderId="1" xfId="4" applyNumberFormat="1" applyFont="1" applyBorder="1" applyAlignment="1" applyProtection="1">
      <alignment horizontal="left" vertical="center"/>
      <protection locked="0"/>
    </xf>
    <xf numFmtId="0" fontId="3" fillId="0" borderId="1" xfId="4" applyFont="1" applyBorder="1" applyAlignment="1">
      <alignment horizontal="left" vertical="center"/>
    </xf>
    <xf numFmtId="0" fontId="4" fillId="0" borderId="0" xfId="4" applyFont="1" applyAlignment="1">
      <alignment horizontal="left" vertical="center"/>
    </xf>
    <xf numFmtId="0" fontId="16" fillId="0" borderId="0" xfId="4" applyAlignment="1">
      <alignment horizontal="left" vertical="center"/>
    </xf>
    <xf numFmtId="0" fontId="29" fillId="0" borderId="0" xfId="4" applyFont="1" applyAlignment="1">
      <alignment horizontal="left" vertical="center"/>
    </xf>
    <xf numFmtId="49" fontId="32" fillId="0" borderId="0" xfId="11" applyNumberFormat="1" applyFont="1" applyAlignment="1">
      <alignment vertical="center" wrapText="1"/>
    </xf>
    <xf numFmtId="49" fontId="31" fillId="0" borderId="0" xfId="11" applyNumberFormat="1" applyFont="1" applyAlignment="1">
      <alignment vertical="center" wrapText="1"/>
    </xf>
    <xf numFmtId="49" fontId="31" fillId="0" borderId="0" xfId="11" applyNumberFormat="1" applyFont="1" applyAlignment="1">
      <alignment horizontal="center" vertical="center"/>
    </xf>
    <xf numFmtId="49" fontId="31" fillId="0" borderId="0" xfId="11" applyNumberFormat="1" applyFont="1" applyAlignment="1">
      <alignment horizontal="right" vertical="center"/>
    </xf>
    <xf numFmtId="49" fontId="31" fillId="0" borderId="0" xfId="11" applyNumberFormat="1" applyFont="1" applyAlignment="1">
      <alignment vertical="center"/>
    </xf>
    <xf numFmtId="49" fontId="31" fillId="0" borderId="0" xfId="11" applyNumberFormat="1" applyFont="1" applyAlignment="1">
      <alignment horizontal="left" vertical="center"/>
    </xf>
    <xf numFmtId="0" fontId="31" fillId="0" borderId="0" xfId="11" applyFont="1" applyAlignment="1">
      <alignment vertical="center" wrapText="1"/>
    </xf>
    <xf numFmtId="49" fontId="31" fillId="0" borderId="0" xfId="11" applyNumberFormat="1" applyFont="1" applyAlignment="1">
      <alignment horizontal="left" vertical="center" wrapText="1"/>
    </xf>
    <xf numFmtId="49" fontId="31" fillId="0" borderId="4" xfId="11" applyNumberFormat="1" applyFont="1" applyBorder="1" applyAlignment="1">
      <alignment horizontal="center" vertical="center"/>
    </xf>
    <xf numFmtId="49" fontId="31" fillId="0" borderId="6" xfId="11" applyNumberFormat="1" applyFont="1" applyBorder="1" applyAlignment="1">
      <alignment horizontal="left" vertical="center" wrapText="1"/>
    </xf>
    <xf numFmtId="0" fontId="4" fillId="0" borderId="6" xfId="5" applyFont="1" applyBorder="1" applyAlignment="1" applyProtection="1">
      <alignment horizontal="left" vertical="center"/>
      <protection locked="0"/>
    </xf>
    <xf numFmtId="0" fontId="3" fillId="0" borderId="6" xfId="5" applyFont="1" applyBorder="1" applyAlignment="1" applyProtection="1">
      <alignment horizontal="left" vertical="center"/>
      <protection locked="0"/>
    </xf>
    <xf numFmtId="0" fontId="4" fillId="0" borderId="0" xfId="5" applyFont="1" applyAlignment="1" applyProtection="1">
      <alignment horizontal="left" vertical="center"/>
      <protection locked="0"/>
    </xf>
    <xf numFmtId="0" fontId="9" fillId="0" borderId="6" xfId="4" applyFont="1" applyBorder="1" applyAlignment="1">
      <alignment horizontal="left" vertical="center"/>
    </xf>
    <xf numFmtId="0" fontId="9" fillId="0" borderId="0" xfId="4" applyFont="1" applyAlignment="1">
      <alignment horizontal="center"/>
    </xf>
    <xf numFmtId="0" fontId="9" fillId="0" borderId="0" xfId="4" applyFont="1" applyAlignment="1">
      <alignment horizontal="center" vertical="center"/>
    </xf>
    <xf numFmtId="0" fontId="9" fillId="0" borderId="4" xfId="4" applyFont="1" applyBorder="1" applyAlignment="1">
      <alignment horizontal="center" vertical="center"/>
    </xf>
    <xf numFmtId="0" fontId="9" fillId="0" borderId="0" xfId="4" applyFont="1" applyAlignment="1">
      <alignment horizontal="left" vertical="center"/>
    </xf>
    <xf numFmtId="0" fontId="10" fillId="0" borderId="0" xfId="4" applyFont="1" applyAlignment="1">
      <alignment horizontal="left" vertical="center"/>
    </xf>
    <xf numFmtId="3" fontId="3" fillId="0" borderId="0" xfId="4" applyNumberFormat="1" applyFont="1" applyAlignment="1">
      <alignment horizontal="right" vertical="center"/>
    </xf>
    <xf numFmtId="0" fontId="3" fillId="0" borderId="6" xfId="4" applyFont="1" applyBorder="1" applyAlignment="1">
      <alignment horizontal="left" vertical="center"/>
    </xf>
    <xf numFmtId="0" fontId="16" fillId="0" borderId="6" xfId="4" applyBorder="1" applyAlignment="1">
      <alignment vertical="center"/>
    </xf>
    <xf numFmtId="49" fontId="32" fillId="0" borderId="0" xfId="11" applyNumberFormat="1" applyFont="1" applyAlignment="1">
      <alignment horizontal="left" vertical="center" wrapText="1"/>
    </xf>
    <xf numFmtId="49" fontId="32" fillId="0" borderId="6" xfId="11" applyNumberFormat="1" applyFont="1" applyBorder="1" applyAlignment="1">
      <alignment horizontal="left" vertical="center"/>
    </xf>
  </cellXfs>
  <cellStyles count="14">
    <cellStyle name="Comma [0] 2" xfId="7" xr:uid="{A08C0B6F-A007-5D49-BC9D-965D207244B3}"/>
    <cellStyle name="Comma [0] 3" xfId="9" xr:uid="{2AF14DB3-F253-DD41-ADBF-E0089EF07DEA}"/>
    <cellStyle name="Comma 133" xfId="3" xr:uid="{B45BDB1F-768F-3A4B-BADC-BAF3A2047C27}"/>
    <cellStyle name="Comma 2" xfId="8" xr:uid="{DEFF26EB-A563-5847-8823-8AC2AB2FB3FD}"/>
    <cellStyle name="Comma 2 2" xfId="12" xr:uid="{726B5E30-98C4-1E48-843F-E9342DBA19CE}"/>
    <cellStyle name="Comma 3" xfId="10" xr:uid="{3E07B5CD-32E1-4F45-AA11-2C31F50BE0EB}"/>
    <cellStyle name="Normal" xfId="0" builtinId="0"/>
    <cellStyle name="Normal 10" xfId="2" xr:uid="{907AB591-8D4A-7340-BEB8-D18836821934}"/>
    <cellStyle name="Normal 2" xfId="4" xr:uid="{67E2CFD5-B32C-B541-801B-9525F529242F}"/>
    <cellStyle name="Normal 2 2" xfId="13" xr:uid="{59567F7B-9D56-1746-9DDC-4E91B3113B57}"/>
    <cellStyle name="Normal 3" xfId="5" xr:uid="{D5402994-0007-5544-90F7-E4E588308EE0}"/>
    <cellStyle name="Normal 3 2" xfId="11" xr:uid="{7B56E39E-60E0-834C-9B87-F4EDAD07109D}"/>
    <cellStyle name="Normal_feT16mtu" xfId="1" xr:uid="{6EA4AD6A-3C72-5B40-96B4-BAF6BFFD1F51}"/>
    <cellStyle name="Normal_pigt10mtu" xfId="6" xr:uid="{78CFB023-C340-E541-9717-F2B0C095BC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2430-8959-0345-9872-7C14F67E0C87}">
  <dimension ref="A1:Y65"/>
  <sheetViews>
    <sheetView topLeftCell="J1" workbookViewId="0">
      <pane ySplit="1" topLeftCell="A38" activePane="bottomLeft" state="frozen"/>
      <selection pane="bottomLeft" activeCell="A57" sqref="A57:XFD57"/>
    </sheetView>
  </sheetViews>
  <sheetFormatPr baseColWidth="10" defaultRowHeight="16"/>
  <sheetData>
    <row r="1" spans="1:25">
      <c r="A1" t="s">
        <v>652</v>
      </c>
      <c r="B1">
        <v>1998</v>
      </c>
      <c r="C1">
        <v>1999</v>
      </c>
      <c r="D1">
        <v>2000</v>
      </c>
      <c r="E1">
        <v>2001</v>
      </c>
      <c r="F1">
        <v>2002</v>
      </c>
      <c r="G1">
        <v>2003</v>
      </c>
      <c r="H1">
        <v>2004</v>
      </c>
      <c r="I1">
        <v>2005</v>
      </c>
      <c r="J1">
        <v>2006</v>
      </c>
      <c r="K1">
        <v>2007</v>
      </c>
      <c r="L1">
        <v>2008</v>
      </c>
      <c r="M1">
        <v>2009</v>
      </c>
      <c r="N1">
        <v>2010</v>
      </c>
      <c r="O1">
        <v>2011</v>
      </c>
      <c r="P1">
        <v>2012</v>
      </c>
      <c r="Q1">
        <v>2013</v>
      </c>
      <c r="R1">
        <v>2014</v>
      </c>
      <c r="S1">
        <v>2015</v>
      </c>
      <c r="T1">
        <v>2016</v>
      </c>
      <c r="U1">
        <v>2017</v>
      </c>
      <c r="V1">
        <v>2018</v>
      </c>
      <c r="W1">
        <v>2019</v>
      </c>
      <c r="X1">
        <v>2020</v>
      </c>
      <c r="Y1">
        <v>2021</v>
      </c>
    </row>
    <row r="2" spans="1:25">
      <c r="A2" t="s">
        <v>7</v>
      </c>
      <c r="B2">
        <v>1783</v>
      </c>
      <c r="C2">
        <v>1336</v>
      </c>
      <c r="D2">
        <v>1645</v>
      </c>
      <c r="E2">
        <v>1732</v>
      </c>
      <c r="F2">
        <v>2100</v>
      </c>
      <c r="G2">
        <v>1378</v>
      </c>
      <c r="H2">
        <v>1554</v>
      </c>
      <c r="I2">
        <v>1579</v>
      </c>
      <c r="J2">
        <v>2339.6370000000002</v>
      </c>
      <c r="K2">
        <v>1982.1010000000001</v>
      </c>
      <c r="L2">
        <v>2077</v>
      </c>
      <c r="M2">
        <v>1307</v>
      </c>
      <c r="N2">
        <v>1220</v>
      </c>
      <c r="O2">
        <v>1280</v>
      </c>
      <c r="P2">
        <v>1300</v>
      </c>
      <c r="Q2">
        <v>1067</v>
      </c>
      <c r="R2">
        <v>911</v>
      </c>
      <c r="S2">
        <v>944</v>
      </c>
      <c r="T2">
        <v>610</v>
      </c>
      <c r="U2">
        <v>497</v>
      </c>
      <c r="V2">
        <v>706</v>
      </c>
      <c r="W2">
        <v>759</v>
      </c>
      <c r="X2">
        <v>753</v>
      </c>
      <c r="Y2">
        <v>600</v>
      </c>
    </row>
    <row r="3" spans="1:25">
      <c r="A3" t="s">
        <v>224</v>
      </c>
      <c r="U3">
        <v>3401</v>
      </c>
      <c r="V3">
        <v>3794</v>
      </c>
      <c r="W3">
        <v>3051</v>
      </c>
      <c r="X3">
        <v>2456</v>
      </c>
      <c r="Y3">
        <v>3551</v>
      </c>
    </row>
    <row r="4" spans="1:25">
      <c r="A4" t="s">
        <v>10</v>
      </c>
      <c r="B4">
        <v>155731</v>
      </c>
      <c r="C4">
        <v>154268</v>
      </c>
      <c r="D4">
        <v>167935</v>
      </c>
      <c r="E4">
        <v>181553</v>
      </c>
      <c r="F4">
        <v>182704</v>
      </c>
      <c r="G4">
        <v>212981</v>
      </c>
      <c r="H4">
        <v>233994</v>
      </c>
      <c r="I4">
        <v>261855</v>
      </c>
      <c r="J4">
        <v>275098</v>
      </c>
      <c r="K4">
        <v>299009</v>
      </c>
      <c r="L4">
        <v>342000</v>
      </c>
      <c r="M4">
        <v>394000</v>
      </c>
      <c r="N4">
        <v>433000</v>
      </c>
      <c r="O4">
        <v>488000</v>
      </c>
      <c r="P4">
        <v>521000</v>
      </c>
      <c r="Q4">
        <v>609730</v>
      </c>
      <c r="R4">
        <v>739682</v>
      </c>
      <c r="S4">
        <v>809882</v>
      </c>
      <c r="T4">
        <v>858026</v>
      </c>
      <c r="U4">
        <v>885357</v>
      </c>
      <c r="V4">
        <v>903850</v>
      </c>
      <c r="W4">
        <v>917046</v>
      </c>
      <c r="X4">
        <v>911138</v>
      </c>
      <c r="Y4">
        <v>912399</v>
      </c>
    </row>
    <row r="5" spans="1:25">
      <c r="A5" t="s">
        <v>11</v>
      </c>
      <c r="B5">
        <v>1797</v>
      </c>
      <c r="C5">
        <v>1752</v>
      </c>
      <c r="D5">
        <v>1800</v>
      </c>
      <c r="E5">
        <v>1800</v>
      </c>
      <c r="F5">
        <v>1900</v>
      </c>
      <c r="G5">
        <v>2119</v>
      </c>
      <c r="H5">
        <v>1882</v>
      </c>
      <c r="I5">
        <v>2000</v>
      </c>
      <c r="J5">
        <v>2000</v>
      </c>
      <c r="K5">
        <v>2000</v>
      </c>
      <c r="L5">
        <v>2032.671</v>
      </c>
      <c r="M5">
        <v>2002.1310000000001</v>
      </c>
      <c r="N5">
        <v>2068.8530000000001</v>
      </c>
      <c r="O5">
        <v>2206.91</v>
      </c>
      <c r="P5">
        <v>2200</v>
      </c>
      <c r="Q5">
        <v>2323</v>
      </c>
      <c r="R5">
        <v>2437</v>
      </c>
      <c r="S5">
        <v>2783</v>
      </c>
      <c r="T5">
        <v>2777</v>
      </c>
      <c r="U5">
        <v>2982</v>
      </c>
      <c r="V5">
        <v>2804</v>
      </c>
      <c r="W5">
        <v>3243</v>
      </c>
      <c r="X5">
        <v>3043</v>
      </c>
      <c r="Y5">
        <v>3036</v>
      </c>
    </row>
    <row r="6" spans="1:25">
      <c r="A6" t="s">
        <v>80</v>
      </c>
      <c r="B6">
        <v>6.6</v>
      </c>
      <c r="G6">
        <v>3.1</v>
      </c>
      <c r="H6">
        <v>19.100000000000001</v>
      </c>
      <c r="I6">
        <v>7.3</v>
      </c>
      <c r="J6">
        <v>11.3</v>
      </c>
      <c r="K6">
        <v>17.2</v>
      </c>
      <c r="L6">
        <v>28.1</v>
      </c>
      <c r="N6">
        <v>57.8</v>
      </c>
      <c r="O6">
        <v>214.3</v>
      </c>
      <c r="P6">
        <v>230</v>
      </c>
      <c r="Q6">
        <v>141</v>
      </c>
      <c r="R6">
        <v>91</v>
      </c>
      <c r="S6">
        <v>128</v>
      </c>
      <c r="T6">
        <v>26</v>
      </c>
    </row>
    <row r="7" spans="1:25">
      <c r="A7" t="s">
        <v>81</v>
      </c>
      <c r="B7">
        <v>150</v>
      </c>
      <c r="C7">
        <v>150</v>
      </c>
      <c r="D7">
        <v>150</v>
      </c>
      <c r="E7">
        <v>150</v>
      </c>
      <c r="F7">
        <v>150</v>
      </c>
      <c r="G7">
        <v>126.929</v>
      </c>
      <c r="H7">
        <v>280.596</v>
      </c>
      <c r="I7">
        <v>3176.748</v>
      </c>
      <c r="J7">
        <v>3439.587</v>
      </c>
      <c r="K7">
        <v>3500</v>
      </c>
      <c r="L7">
        <v>1481.73</v>
      </c>
      <c r="M7">
        <v>1614.89</v>
      </c>
      <c r="N7">
        <v>1401</v>
      </c>
      <c r="O7">
        <v>1891</v>
      </c>
      <c r="P7">
        <v>1900</v>
      </c>
      <c r="Q7">
        <v>2122</v>
      </c>
      <c r="R7">
        <v>2128</v>
      </c>
      <c r="S7">
        <v>2123</v>
      </c>
      <c r="T7">
        <v>1752</v>
      </c>
      <c r="U7">
        <v>1622</v>
      </c>
      <c r="V7">
        <v>1380</v>
      </c>
      <c r="W7">
        <v>1450</v>
      </c>
      <c r="X7">
        <v>1427</v>
      </c>
      <c r="Y7">
        <v>1554</v>
      </c>
    </row>
    <row r="8" spans="1:25">
      <c r="A8" t="s">
        <v>15</v>
      </c>
      <c r="B8">
        <v>197500</v>
      </c>
      <c r="C8">
        <v>194000</v>
      </c>
      <c r="D8">
        <v>210000</v>
      </c>
      <c r="E8">
        <v>210000</v>
      </c>
      <c r="F8">
        <v>210000</v>
      </c>
      <c r="G8">
        <v>230707</v>
      </c>
      <c r="H8">
        <v>261696.128</v>
      </c>
      <c r="I8">
        <v>281462.08799999999</v>
      </c>
      <c r="J8">
        <v>317800.22899999999</v>
      </c>
      <c r="K8">
        <v>354674.37800000003</v>
      </c>
      <c r="L8">
        <v>350707</v>
      </c>
      <c r="M8">
        <v>298528</v>
      </c>
      <c r="N8">
        <v>372120.1</v>
      </c>
      <c r="O8">
        <v>398130.81300000002</v>
      </c>
      <c r="P8">
        <v>398150</v>
      </c>
      <c r="Q8">
        <v>386270</v>
      </c>
      <c r="R8">
        <v>411183</v>
      </c>
      <c r="S8">
        <v>430836</v>
      </c>
      <c r="T8">
        <v>421358</v>
      </c>
      <c r="U8">
        <v>453704</v>
      </c>
      <c r="V8">
        <v>460000</v>
      </c>
      <c r="W8">
        <v>404900</v>
      </c>
      <c r="X8">
        <v>387995</v>
      </c>
      <c r="Y8">
        <v>430551</v>
      </c>
    </row>
    <row r="9" spans="1:25">
      <c r="A9" t="s">
        <v>16</v>
      </c>
      <c r="B9">
        <v>895</v>
      </c>
      <c r="C9">
        <v>699</v>
      </c>
      <c r="D9">
        <v>559</v>
      </c>
      <c r="E9">
        <v>325</v>
      </c>
      <c r="F9">
        <v>300</v>
      </c>
      <c r="G9">
        <v>466</v>
      </c>
      <c r="H9">
        <v>83</v>
      </c>
    </row>
    <row r="10" spans="1:25">
      <c r="A10" t="s">
        <v>225</v>
      </c>
      <c r="Q10">
        <v>21</v>
      </c>
      <c r="R10">
        <v>19</v>
      </c>
      <c r="S10">
        <v>43</v>
      </c>
      <c r="T10">
        <v>28</v>
      </c>
      <c r="U10">
        <v>33</v>
      </c>
      <c r="V10">
        <v>38</v>
      </c>
      <c r="W10">
        <v>37</v>
      </c>
      <c r="X10">
        <v>15</v>
      </c>
      <c r="Y10">
        <v>14</v>
      </c>
    </row>
    <row r="11" spans="1:25">
      <c r="A11" t="s">
        <v>226</v>
      </c>
      <c r="B11">
        <v>37808</v>
      </c>
      <c r="C11">
        <v>33900</v>
      </c>
      <c r="D11">
        <v>33740</v>
      </c>
      <c r="E11">
        <v>27119</v>
      </c>
      <c r="F11">
        <v>30969</v>
      </c>
      <c r="G11">
        <v>33322</v>
      </c>
      <c r="H11">
        <v>28596.429</v>
      </c>
      <c r="I11">
        <v>30387</v>
      </c>
      <c r="J11">
        <v>33542.978000000003</v>
      </c>
      <c r="K11">
        <v>32833.648999999998</v>
      </c>
      <c r="L11">
        <v>32102</v>
      </c>
      <c r="M11">
        <v>31704</v>
      </c>
      <c r="N11">
        <v>37001</v>
      </c>
      <c r="O11">
        <v>35705</v>
      </c>
      <c r="P11">
        <v>39427</v>
      </c>
      <c r="Q11">
        <v>42063</v>
      </c>
      <c r="R11">
        <v>43173</v>
      </c>
      <c r="S11">
        <v>46220</v>
      </c>
      <c r="T11">
        <v>46731</v>
      </c>
      <c r="U11">
        <v>50300</v>
      </c>
      <c r="V11">
        <v>52755</v>
      </c>
      <c r="W11">
        <v>58472</v>
      </c>
      <c r="X11">
        <v>60060</v>
      </c>
      <c r="Y11">
        <v>57492</v>
      </c>
    </row>
    <row r="12" spans="1:25">
      <c r="A12" t="s">
        <v>18</v>
      </c>
      <c r="B12">
        <v>9112</v>
      </c>
      <c r="C12">
        <v>8345</v>
      </c>
      <c r="D12">
        <v>8729</v>
      </c>
      <c r="E12">
        <v>8834</v>
      </c>
      <c r="F12">
        <v>8850</v>
      </c>
      <c r="G12">
        <v>8011.0230000000001</v>
      </c>
      <c r="H12">
        <v>8003.491</v>
      </c>
      <c r="I12">
        <v>7862.0609999999997</v>
      </c>
      <c r="J12">
        <v>8628.2000000000007</v>
      </c>
      <c r="K12">
        <v>8817.7000000000007</v>
      </c>
      <c r="L12">
        <v>9315.58</v>
      </c>
      <c r="M12">
        <v>8242.2999999999993</v>
      </c>
      <c r="N12">
        <v>9129.5</v>
      </c>
      <c r="O12">
        <v>12624.6</v>
      </c>
      <c r="P12">
        <v>17330.099999999999</v>
      </c>
      <c r="Q12">
        <v>17109</v>
      </c>
      <c r="R12">
        <v>18866</v>
      </c>
      <c r="S12">
        <v>15448</v>
      </c>
      <c r="T12">
        <v>14619</v>
      </c>
      <c r="U12">
        <v>15426</v>
      </c>
      <c r="V12">
        <v>14013</v>
      </c>
      <c r="W12">
        <v>13137</v>
      </c>
      <c r="X12">
        <v>15553</v>
      </c>
      <c r="Y12">
        <v>17685</v>
      </c>
    </row>
    <row r="13" spans="1:25">
      <c r="A13" t="s">
        <v>227</v>
      </c>
      <c r="B13">
        <v>247000</v>
      </c>
      <c r="C13">
        <v>237000</v>
      </c>
      <c r="D13">
        <v>223000</v>
      </c>
      <c r="E13">
        <v>220000</v>
      </c>
      <c r="F13">
        <v>231000</v>
      </c>
      <c r="G13">
        <v>261000</v>
      </c>
      <c r="H13">
        <v>320000</v>
      </c>
      <c r="I13">
        <v>420000</v>
      </c>
      <c r="J13">
        <v>601000</v>
      </c>
      <c r="K13">
        <v>707000</v>
      </c>
      <c r="L13">
        <v>824000</v>
      </c>
      <c r="M13">
        <v>880000</v>
      </c>
      <c r="N13">
        <v>1070000</v>
      </c>
      <c r="O13">
        <v>1330000</v>
      </c>
      <c r="P13">
        <v>1310000</v>
      </c>
      <c r="Q13">
        <v>417287</v>
      </c>
      <c r="R13">
        <v>410123</v>
      </c>
      <c r="S13">
        <v>374838</v>
      </c>
      <c r="T13">
        <v>347594</v>
      </c>
      <c r="U13">
        <v>345472</v>
      </c>
      <c r="V13">
        <v>334790</v>
      </c>
      <c r="W13">
        <v>351000</v>
      </c>
      <c r="X13">
        <v>360000</v>
      </c>
      <c r="Y13">
        <v>394000</v>
      </c>
    </row>
    <row r="14" spans="1:25">
      <c r="A14" t="s">
        <v>20</v>
      </c>
      <c r="B14">
        <v>525.82500000000005</v>
      </c>
      <c r="C14">
        <v>576.41399999999999</v>
      </c>
      <c r="D14">
        <v>660.10900000000004</v>
      </c>
      <c r="E14">
        <v>636.83699999999999</v>
      </c>
      <c r="F14">
        <v>650</v>
      </c>
      <c r="G14">
        <v>625.00199999999995</v>
      </c>
      <c r="H14">
        <v>587.22199999999998</v>
      </c>
      <c r="I14">
        <v>607.55899999999997</v>
      </c>
      <c r="J14">
        <v>644.15099999999995</v>
      </c>
      <c r="K14">
        <v>623.92999999999995</v>
      </c>
      <c r="L14">
        <v>473.27300000000002</v>
      </c>
      <c r="M14">
        <v>280.77199999999999</v>
      </c>
      <c r="N14">
        <v>77.048000000000002</v>
      </c>
      <c r="O14">
        <v>174.459</v>
      </c>
      <c r="P14">
        <v>173.25700000000001</v>
      </c>
      <c r="Q14">
        <v>710</v>
      </c>
      <c r="R14">
        <v>676</v>
      </c>
      <c r="S14">
        <v>902</v>
      </c>
      <c r="T14">
        <v>716</v>
      </c>
      <c r="U14">
        <v>713</v>
      </c>
      <c r="V14">
        <v>576</v>
      </c>
      <c r="W14">
        <v>667</v>
      </c>
      <c r="X14">
        <v>787</v>
      </c>
      <c r="Y14">
        <v>681</v>
      </c>
    </row>
    <row r="15" spans="1:25">
      <c r="A15" t="s">
        <v>656</v>
      </c>
      <c r="V15">
        <v>40</v>
      </c>
      <c r="W15">
        <v>70</v>
      </c>
      <c r="X15">
        <v>70</v>
      </c>
      <c r="Y15">
        <v>70</v>
      </c>
    </row>
    <row r="16" spans="1:25">
      <c r="A16" t="s">
        <v>21</v>
      </c>
      <c r="B16">
        <v>3001</v>
      </c>
      <c r="C16">
        <v>2700</v>
      </c>
      <c r="D16">
        <v>1900</v>
      </c>
      <c r="E16">
        <v>2600</v>
      </c>
      <c r="F16">
        <v>2300</v>
      </c>
      <c r="G16">
        <v>2237</v>
      </c>
      <c r="H16">
        <v>2400</v>
      </c>
      <c r="I16">
        <v>2600</v>
      </c>
      <c r="J16">
        <v>2500</v>
      </c>
      <c r="K16">
        <v>2500</v>
      </c>
      <c r="L16">
        <v>178</v>
      </c>
      <c r="M16">
        <v>195</v>
      </c>
      <c r="N16">
        <v>256</v>
      </c>
      <c r="O16">
        <v>250</v>
      </c>
      <c r="P16">
        <v>250</v>
      </c>
      <c r="Q16">
        <v>1422</v>
      </c>
      <c r="R16">
        <v>1697</v>
      </c>
      <c r="S16">
        <v>1500</v>
      </c>
      <c r="T16">
        <v>509</v>
      </c>
      <c r="U16">
        <v>565</v>
      </c>
      <c r="V16">
        <v>500</v>
      </c>
      <c r="W16">
        <v>600</v>
      </c>
      <c r="X16">
        <v>560</v>
      </c>
      <c r="Y16">
        <v>560</v>
      </c>
    </row>
    <row r="17" spans="1:25">
      <c r="A17" t="s">
        <v>268</v>
      </c>
      <c r="B17">
        <v>250</v>
      </c>
      <c r="C17">
        <v>250</v>
      </c>
    </row>
    <row r="18" spans="1:25">
      <c r="A18" t="s">
        <v>22</v>
      </c>
      <c r="B18">
        <v>200</v>
      </c>
      <c r="C18">
        <v>100</v>
      </c>
      <c r="G18">
        <v>429.17</v>
      </c>
      <c r="H18">
        <v>412.238</v>
      </c>
      <c r="I18">
        <v>362.10599999999999</v>
      </c>
      <c r="J18">
        <v>411.97300000000001</v>
      </c>
      <c r="K18">
        <v>412</v>
      </c>
      <c r="L18">
        <v>455.1</v>
      </c>
      <c r="M18">
        <v>363.69900000000001</v>
      </c>
      <c r="N18">
        <v>390.35300000000001</v>
      </c>
      <c r="O18">
        <v>489.09100000000001</v>
      </c>
      <c r="P18">
        <v>450</v>
      </c>
      <c r="Q18">
        <v>413</v>
      </c>
      <c r="R18">
        <v>456</v>
      </c>
    </row>
    <row r="19" spans="1:25">
      <c r="A19" t="s">
        <v>326</v>
      </c>
      <c r="C19">
        <v>1600</v>
      </c>
      <c r="D19">
        <v>1500</v>
      </c>
      <c r="E19">
        <v>1500</v>
      </c>
      <c r="F19">
        <v>1500</v>
      </c>
      <c r="G19">
        <v>1500</v>
      </c>
      <c r="H19">
        <v>1500</v>
      </c>
      <c r="I19">
        <v>1500</v>
      </c>
      <c r="J19">
        <v>1500</v>
      </c>
      <c r="K19">
        <v>1500</v>
      </c>
      <c r="L19">
        <v>1500</v>
      </c>
      <c r="M19">
        <v>1500</v>
      </c>
      <c r="N19">
        <v>1500</v>
      </c>
      <c r="O19">
        <v>1200</v>
      </c>
      <c r="P19">
        <v>1200</v>
      </c>
      <c r="Q19">
        <v>2221</v>
      </c>
      <c r="R19">
        <v>2317</v>
      </c>
      <c r="S19">
        <v>2340</v>
      </c>
      <c r="T19">
        <v>2209</v>
      </c>
      <c r="U19">
        <v>2284</v>
      </c>
      <c r="V19">
        <v>2115</v>
      </c>
      <c r="W19">
        <v>1755</v>
      </c>
      <c r="X19">
        <v>1700</v>
      </c>
      <c r="Y19">
        <v>1700</v>
      </c>
    </row>
    <row r="20" spans="1:25">
      <c r="A20" t="s">
        <v>23</v>
      </c>
      <c r="B20">
        <v>5.1020000000000003</v>
      </c>
      <c r="C20">
        <v>10.536</v>
      </c>
      <c r="D20">
        <v>16.254000000000001</v>
      </c>
      <c r="E20">
        <v>15</v>
      </c>
      <c r="F20">
        <v>15</v>
      </c>
      <c r="G20">
        <v>2.2759999999999998</v>
      </c>
      <c r="H20">
        <v>2.823</v>
      </c>
      <c r="I20">
        <v>11.268000000000001</v>
      </c>
      <c r="J20">
        <v>7.3410000000000002</v>
      </c>
      <c r="K20">
        <v>7</v>
      </c>
      <c r="L20">
        <v>0</v>
      </c>
      <c r="M20">
        <v>5.4630000000000001</v>
      </c>
      <c r="N20">
        <v>1.6040000000000001</v>
      </c>
      <c r="O20">
        <v>1.1599999999999999</v>
      </c>
      <c r="P20">
        <v>1.1599999999999999</v>
      </c>
    </row>
    <row r="21" spans="1:25">
      <c r="A21" t="s">
        <v>24</v>
      </c>
      <c r="B21">
        <v>72532</v>
      </c>
      <c r="C21">
        <v>70220</v>
      </c>
      <c r="D21">
        <v>75950</v>
      </c>
      <c r="E21">
        <v>79200</v>
      </c>
      <c r="F21">
        <v>80000</v>
      </c>
      <c r="G21">
        <v>99100</v>
      </c>
      <c r="H21">
        <v>120600</v>
      </c>
      <c r="I21">
        <v>140000</v>
      </c>
      <c r="J21">
        <v>160000</v>
      </c>
      <c r="K21">
        <v>180000</v>
      </c>
      <c r="L21">
        <v>213033</v>
      </c>
      <c r="M21">
        <v>217155</v>
      </c>
      <c r="N21">
        <v>210006</v>
      </c>
      <c r="O21">
        <v>177256</v>
      </c>
      <c r="P21">
        <v>143710</v>
      </c>
      <c r="Q21">
        <v>140416</v>
      </c>
      <c r="R21">
        <v>138000</v>
      </c>
      <c r="S21">
        <v>142399</v>
      </c>
      <c r="T21">
        <v>184501</v>
      </c>
      <c r="U21">
        <v>201815</v>
      </c>
      <c r="V21">
        <v>204091</v>
      </c>
      <c r="W21">
        <v>203052</v>
      </c>
      <c r="X21">
        <v>203982</v>
      </c>
      <c r="Y21">
        <v>272638</v>
      </c>
    </row>
    <row r="22" spans="1:25">
      <c r="A22" t="s">
        <v>25</v>
      </c>
      <c r="B22">
        <v>560.42399999999998</v>
      </c>
      <c r="C22">
        <v>584.428</v>
      </c>
      <c r="D22">
        <v>489.12599999999998</v>
      </c>
      <c r="E22">
        <v>469.12599999999998</v>
      </c>
      <c r="F22">
        <v>474.702</v>
      </c>
      <c r="G22">
        <v>245.40899999999999</v>
      </c>
      <c r="H22">
        <v>89.664000000000001</v>
      </c>
      <c r="I22">
        <v>32.203000000000003</v>
      </c>
      <c r="J22">
        <v>10.962999999999999</v>
      </c>
      <c r="K22">
        <v>8</v>
      </c>
      <c r="L22">
        <v>65</v>
      </c>
      <c r="M22">
        <v>44.552</v>
      </c>
      <c r="N22">
        <v>45.61</v>
      </c>
      <c r="O22">
        <v>46</v>
      </c>
      <c r="P22">
        <v>48</v>
      </c>
      <c r="Q22">
        <v>22353</v>
      </c>
      <c r="R22">
        <v>5951</v>
      </c>
      <c r="S22">
        <v>500</v>
      </c>
      <c r="U22">
        <v>1967</v>
      </c>
      <c r="V22">
        <v>1321</v>
      </c>
      <c r="W22">
        <v>3450</v>
      </c>
      <c r="X22">
        <v>3620</v>
      </c>
      <c r="Y22">
        <v>2139</v>
      </c>
    </row>
    <row r="23" spans="1:25">
      <c r="A23" t="s">
        <v>230</v>
      </c>
      <c r="B23">
        <v>10536</v>
      </c>
      <c r="C23">
        <v>10776</v>
      </c>
      <c r="D23">
        <v>12370</v>
      </c>
      <c r="E23">
        <v>10300</v>
      </c>
      <c r="F23">
        <v>11300</v>
      </c>
      <c r="G23">
        <v>18287</v>
      </c>
      <c r="H23">
        <v>18205</v>
      </c>
      <c r="I23">
        <v>19000</v>
      </c>
      <c r="J23">
        <v>26243.837</v>
      </c>
      <c r="K23">
        <v>31537.544999999998</v>
      </c>
      <c r="L23">
        <v>32000</v>
      </c>
      <c r="M23">
        <v>34034</v>
      </c>
      <c r="N23">
        <v>35000</v>
      </c>
      <c r="O23">
        <v>35000</v>
      </c>
      <c r="P23">
        <v>37000</v>
      </c>
      <c r="Q23">
        <v>48693</v>
      </c>
      <c r="R23">
        <v>48451</v>
      </c>
      <c r="S23">
        <v>39370</v>
      </c>
      <c r="T23">
        <v>39400</v>
      </c>
      <c r="U23">
        <v>33967</v>
      </c>
      <c r="V23">
        <v>36435</v>
      </c>
      <c r="W23">
        <v>33093</v>
      </c>
      <c r="X23">
        <v>49452</v>
      </c>
      <c r="Y23">
        <v>72944</v>
      </c>
    </row>
    <row r="24" spans="1:25">
      <c r="A24" t="s">
        <v>26</v>
      </c>
      <c r="B24">
        <v>1.72</v>
      </c>
      <c r="C24">
        <v>1.45</v>
      </c>
      <c r="D24">
        <v>1.454</v>
      </c>
      <c r="E24">
        <v>0.75</v>
      </c>
      <c r="F24">
        <v>0.75</v>
      </c>
    </row>
    <row r="25" spans="1:25">
      <c r="A25" t="s">
        <v>28</v>
      </c>
      <c r="B25">
        <v>8692.9</v>
      </c>
      <c r="C25">
        <v>9091.2000000000007</v>
      </c>
      <c r="D25">
        <v>16160</v>
      </c>
      <c r="E25">
        <v>14140</v>
      </c>
      <c r="F25">
        <v>15423.1</v>
      </c>
      <c r="G25">
        <v>19280.900000000001</v>
      </c>
      <c r="H25">
        <v>20402.5</v>
      </c>
      <c r="I25">
        <v>19471.099999999999</v>
      </c>
      <c r="J25">
        <v>22262.6</v>
      </c>
      <c r="K25">
        <v>23834.1</v>
      </c>
      <c r="L25">
        <v>21486</v>
      </c>
      <c r="M25">
        <v>22281.3</v>
      </c>
      <c r="N25">
        <v>24229.1</v>
      </c>
      <c r="O25">
        <v>24812.799999999999</v>
      </c>
      <c r="P25">
        <v>25997.8</v>
      </c>
      <c r="Q25">
        <v>51689</v>
      </c>
      <c r="R25">
        <v>51541</v>
      </c>
      <c r="S25">
        <v>37270</v>
      </c>
      <c r="T25">
        <v>35794</v>
      </c>
      <c r="U25">
        <v>38728</v>
      </c>
      <c r="V25">
        <v>41877</v>
      </c>
      <c r="W25">
        <v>45222</v>
      </c>
      <c r="X25">
        <v>62865</v>
      </c>
      <c r="Y25">
        <v>64090</v>
      </c>
    </row>
    <row r="26" spans="1:25">
      <c r="A26" t="s">
        <v>29</v>
      </c>
      <c r="D26">
        <v>0.79</v>
      </c>
      <c r="E26">
        <v>0.92</v>
      </c>
      <c r="F26">
        <v>1</v>
      </c>
      <c r="G26">
        <v>0.7</v>
      </c>
      <c r="H26">
        <v>0.5</v>
      </c>
      <c r="I26">
        <v>0</v>
      </c>
      <c r="J26">
        <v>0</v>
      </c>
      <c r="K26">
        <v>0</v>
      </c>
      <c r="L26">
        <v>0.7</v>
      </c>
      <c r="M26">
        <v>7</v>
      </c>
      <c r="N26">
        <v>11</v>
      </c>
      <c r="O26">
        <v>11</v>
      </c>
      <c r="P26">
        <v>11</v>
      </c>
      <c r="V26">
        <v>167</v>
      </c>
      <c r="W26">
        <v>161</v>
      </c>
      <c r="X26">
        <v>79</v>
      </c>
      <c r="Y26">
        <v>80</v>
      </c>
    </row>
    <row r="27" spans="1:25">
      <c r="A27" t="s">
        <v>231</v>
      </c>
      <c r="B27">
        <v>2900</v>
      </c>
      <c r="C27">
        <v>3800</v>
      </c>
      <c r="D27">
        <v>3800</v>
      </c>
      <c r="E27">
        <v>4200</v>
      </c>
      <c r="F27">
        <v>4300</v>
      </c>
      <c r="G27">
        <v>4430</v>
      </c>
      <c r="H27">
        <v>4580</v>
      </c>
      <c r="I27">
        <v>5000</v>
      </c>
      <c r="J27">
        <v>5040</v>
      </c>
      <c r="K27">
        <v>5130</v>
      </c>
      <c r="L27">
        <v>5136</v>
      </c>
      <c r="M27">
        <v>5300</v>
      </c>
      <c r="N27">
        <v>5300</v>
      </c>
      <c r="O27">
        <v>5300</v>
      </c>
      <c r="P27">
        <v>5300</v>
      </c>
      <c r="Q27">
        <v>5486</v>
      </c>
      <c r="R27">
        <v>5471</v>
      </c>
      <c r="S27">
        <v>4906</v>
      </c>
      <c r="T27">
        <v>5249</v>
      </c>
      <c r="U27">
        <v>5740</v>
      </c>
      <c r="V27">
        <v>3280</v>
      </c>
      <c r="W27">
        <v>2830</v>
      </c>
      <c r="X27">
        <v>2580</v>
      </c>
      <c r="Y27">
        <v>2650</v>
      </c>
    </row>
    <row r="28" spans="1:25">
      <c r="A28" t="s">
        <v>31</v>
      </c>
      <c r="B28">
        <v>486.18299999999999</v>
      </c>
      <c r="C28">
        <v>410.06599999999997</v>
      </c>
      <c r="D28">
        <v>336.17500000000001</v>
      </c>
      <c r="E28">
        <v>195</v>
      </c>
      <c r="F28">
        <v>200</v>
      </c>
      <c r="G28">
        <v>174</v>
      </c>
      <c r="H28">
        <v>226</v>
      </c>
      <c r="I28">
        <v>213</v>
      </c>
      <c r="J28">
        <v>227</v>
      </c>
      <c r="K28">
        <v>291</v>
      </c>
      <c r="L28">
        <v>366</v>
      </c>
      <c r="M28">
        <v>455.40499999999997</v>
      </c>
      <c r="N28">
        <v>512.64200000000005</v>
      </c>
      <c r="O28">
        <v>542</v>
      </c>
      <c r="P28">
        <v>500</v>
      </c>
      <c r="Q28">
        <v>663</v>
      </c>
      <c r="R28">
        <v>693</v>
      </c>
      <c r="S28">
        <v>445</v>
      </c>
      <c r="T28">
        <v>445</v>
      </c>
      <c r="U28">
        <v>311</v>
      </c>
      <c r="V28">
        <v>383</v>
      </c>
      <c r="W28">
        <v>342</v>
      </c>
      <c r="X28">
        <v>575</v>
      </c>
      <c r="Y28">
        <v>539</v>
      </c>
    </row>
    <row r="29" spans="1:25">
      <c r="A29" t="s">
        <v>232</v>
      </c>
      <c r="Q29">
        <v>905</v>
      </c>
      <c r="R29">
        <v>1149</v>
      </c>
      <c r="S29">
        <v>235</v>
      </c>
      <c r="T29">
        <v>115</v>
      </c>
      <c r="U29">
        <v>250</v>
      </c>
      <c r="V29">
        <v>99</v>
      </c>
      <c r="W29">
        <v>470</v>
      </c>
      <c r="X29">
        <v>1013</v>
      </c>
      <c r="Y29">
        <v>3523</v>
      </c>
    </row>
    <row r="30" spans="1:25">
      <c r="A30" t="s">
        <v>233</v>
      </c>
      <c r="Q30">
        <v>4698</v>
      </c>
      <c r="R30">
        <v>5744</v>
      </c>
      <c r="S30">
        <v>4530</v>
      </c>
      <c r="T30">
        <v>1405</v>
      </c>
      <c r="U30">
        <v>1934</v>
      </c>
      <c r="V30">
        <v>3934</v>
      </c>
      <c r="W30">
        <v>4429</v>
      </c>
      <c r="X30">
        <v>4875</v>
      </c>
      <c r="Y30">
        <v>5000</v>
      </c>
    </row>
    <row r="31" spans="1:25">
      <c r="A31" t="s">
        <v>336</v>
      </c>
      <c r="B31">
        <v>15</v>
      </c>
      <c r="C31">
        <v>15</v>
      </c>
      <c r="D31">
        <v>15</v>
      </c>
      <c r="E31">
        <v>15</v>
      </c>
      <c r="F31">
        <v>15</v>
      </c>
      <c r="G31">
        <v>10</v>
      </c>
      <c r="H31">
        <v>10</v>
      </c>
      <c r="I31">
        <v>10</v>
      </c>
      <c r="J31">
        <v>10</v>
      </c>
      <c r="K31">
        <v>10</v>
      </c>
    </row>
    <row r="32" spans="1:25">
      <c r="A32" t="s">
        <v>32</v>
      </c>
      <c r="B32">
        <v>376.00900000000001</v>
      </c>
      <c r="C32">
        <v>337.46199999999999</v>
      </c>
      <c r="D32">
        <v>258.57299999999998</v>
      </c>
      <c r="E32">
        <v>376.476</v>
      </c>
      <c r="F32">
        <v>404.35</v>
      </c>
      <c r="G32">
        <v>596.61199999999997</v>
      </c>
      <c r="H32">
        <v>663.73199999999997</v>
      </c>
      <c r="I32">
        <v>949.60500000000002</v>
      </c>
      <c r="J32">
        <v>667.08199999999999</v>
      </c>
      <c r="K32">
        <v>700</v>
      </c>
      <c r="L32">
        <v>981.93200000000002</v>
      </c>
      <c r="M32">
        <v>1470.1859999999999</v>
      </c>
      <c r="N32">
        <v>3465.895</v>
      </c>
      <c r="O32">
        <v>7695.5770000000002</v>
      </c>
      <c r="P32">
        <v>8000</v>
      </c>
      <c r="Q32">
        <v>12134</v>
      </c>
      <c r="R32">
        <v>9615</v>
      </c>
      <c r="S32">
        <v>1625</v>
      </c>
      <c r="T32">
        <v>1914</v>
      </c>
      <c r="U32">
        <v>3920</v>
      </c>
      <c r="V32">
        <v>3354</v>
      </c>
      <c r="W32">
        <v>4160</v>
      </c>
      <c r="X32">
        <v>5371</v>
      </c>
      <c r="Y32">
        <v>4984</v>
      </c>
    </row>
    <row r="33" spans="1:25">
      <c r="A33" t="s">
        <v>33</v>
      </c>
      <c r="B33">
        <v>11400</v>
      </c>
      <c r="C33">
        <v>10400</v>
      </c>
      <c r="D33">
        <v>10400</v>
      </c>
      <c r="E33">
        <v>10300</v>
      </c>
      <c r="F33">
        <v>9600</v>
      </c>
      <c r="G33">
        <v>10377</v>
      </c>
      <c r="H33">
        <v>10674</v>
      </c>
      <c r="I33">
        <v>10752</v>
      </c>
      <c r="J33">
        <v>10658.285</v>
      </c>
      <c r="K33">
        <v>11816.66</v>
      </c>
      <c r="L33">
        <v>11296</v>
      </c>
      <c r="M33">
        <v>10524</v>
      </c>
      <c r="N33">
        <v>11534</v>
      </c>
      <c r="O33">
        <v>11160</v>
      </c>
      <c r="P33">
        <v>12000</v>
      </c>
      <c r="Q33">
        <v>11975</v>
      </c>
      <c r="R33">
        <v>13306</v>
      </c>
      <c r="S33">
        <v>11607</v>
      </c>
      <c r="T33">
        <v>13268</v>
      </c>
      <c r="U33">
        <v>11714</v>
      </c>
      <c r="V33">
        <v>10711</v>
      </c>
      <c r="W33">
        <v>12200</v>
      </c>
      <c r="X33">
        <v>12515</v>
      </c>
      <c r="Y33">
        <v>12809</v>
      </c>
    </row>
    <row r="34" spans="1:25">
      <c r="A34" t="s">
        <v>234</v>
      </c>
      <c r="B34">
        <v>10557.094999999999</v>
      </c>
      <c r="C34">
        <v>11475</v>
      </c>
      <c r="D34">
        <v>11325</v>
      </c>
      <c r="E34">
        <v>8783</v>
      </c>
      <c r="F34">
        <v>9000</v>
      </c>
      <c r="G34">
        <v>11265</v>
      </c>
      <c r="H34">
        <v>11483</v>
      </c>
      <c r="I34">
        <v>11687</v>
      </c>
      <c r="J34">
        <v>10983</v>
      </c>
      <c r="K34">
        <v>12205</v>
      </c>
      <c r="L34">
        <v>11688.107</v>
      </c>
      <c r="M34">
        <v>11677.494000000001</v>
      </c>
      <c r="N34">
        <v>13998.272999999999</v>
      </c>
      <c r="O34">
        <v>14482.05</v>
      </c>
      <c r="P34">
        <v>14500</v>
      </c>
      <c r="Q34">
        <v>18840</v>
      </c>
      <c r="R34">
        <v>16628</v>
      </c>
      <c r="S34">
        <v>13462</v>
      </c>
      <c r="T34">
        <v>12090</v>
      </c>
      <c r="U34">
        <v>18600</v>
      </c>
      <c r="V34">
        <v>22300</v>
      </c>
      <c r="W34">
        <v>11300</v>
      </c>
      <c r="X34">
        <v>9300</v>
      </c>
      <c r="Y34">
        <v>10800</v>
      </c>
    </row>
    <row r="35" spans="1:25">
      <c r="A35" t="s">
        <v>102</v>
      </c>
      <c r="L35">
        <v>1387.4</v>
      </c>
      <c r="M35">
        <v>1379</v>
      </c>
      <c r="N35">
        <v>3203.2</v>
      </c>
      <c r="O35">
        <v>5678.3</v>
      </c>
      <c r="P35">
        <v>7561.4</v>
      </c>
      <c r="Q35">
        <v>6794</v>
      </c>
      <c r="R35">
        <v>7558</v>
      </c>
      <c r="S35">
        <v>6061</v>
      </c>
      <c r="T35">
        <v>4936</v>
      </c>
      <c r="U35">
        <v>7695</v>
      </c>
      <c r="V35">
        <v>6225</v>
      </c>
      <c r="W35">
        <v>8572</v>
      </c>
      <c r="X35">
        <v>9224</v>
      </c>
      <c r="Y35">
        <v>7106</v>
      </c>
    </row>
    <row r="36" spans="1:25">
      <c r="A36" t="s">
        <v>34</v>
      </c>
      <c r="B36">
        <v>9.2850000000000001</v>
      </c>
      <c r="C36">
        <v>6.625</v>
      </c>
      <c r="D36">
        <v>5.6150000000000002</v>
      </c>
      <c r="E36">
        <v>7.976</v>
      </c>
      <c r="F36">
        <v>1.6279999999999999</v>
      </c>
      <c r="G36">
        <v>6.3</v>
      </c>
      <c r="H36">
        <v>9.9</v>
      </c>
      <c r="I36">
        <v>9.9</v>
      </c>
      <c r="J36">
        <v>9.9</v>
      </c>
      <c r="K36">
        <v>9.9</v>
      </c>
      <c r="L36">
        <v>22.9</v>
      </c>
      <c r="M36">
        <v>30.523</v>
      </c>
      <c r="N36">
        <v>44.664999999999999</v>
      </c>
      <c r="O36">
        <v>78.926000000000002</v>
      </c>
      <c r="P36">
        <v>78.900000000000006</v>
      </c>
      <c r="Q36">
        <v>301</v>
      </c>
      <c r="R36">
        <v>23</v>
      </c>
      <c r="S36">
        <v>18</v>
      </c>
      <c r="T36">
        <v>15</v>
      </c>
      <c r="U36">
        <v>100</v>
      </c>
      <c r="V36">
        <v>51</v>
      </c>
      <c r="W36">
        <v>20</v>
      </c>
      <c r="X36">
        <v>39</v>
      </c>
      <c r="Y36">
        <v>19</v>
      </c>
    </row>
    <row r="37" spans="1:25">
      <c r="A37" t="s">
        <v>277</v>
      </c>
      <c r="B37">
        <v>2120</v>
      </c>
      <c r="C37">
        <v>2303.3760000000002</v>
      </c>
      <c r="D37">
        <v>2691.78</v>
      </c>
      <c r="E37">
        <v>1636</v>
      </c>
      <c r="F37">
        <v>1500</v>
      </c>
      <c r="G37">
        <v>1946.9</v>
      </c>
      <c r="H37">
        <v>2329.4169999999999</v>
      </c>
      <c r="I37">
        <v>2270</v>
      </c>
      <c r="J37">
        <v>2146</v>
      </c>
      <c r="K37">
        <v>2200</v>
      </c>
      <c r="L37">
        <v>2020</v>
      </c>
      <c r="M37">
        <v>2092</v>
      </c>
      <c r="N37">
        <v>2439</v>
      </c>
      <c r="O37">
        <v>2357</v>
      </c>
      <c r="P37">
        <v>2400</v>
      </c>
      <c r="Q37">
        <v>3157</v>
      </c>
      <c r="R37">
        <v>3245</v>
      </c>
      <c r="S37">
        <v>3194</v>
      </c>
      <c r="T37">
        <v>3496</v>
      </c>
      <c r="U37">
        <v>4008</v>
      </c>
      <c r="V37">
        <v>4000</v>
      </c>
      <c r="W37">
        <v>4000</v>
      </c>
      <c r="X37">
        <v>4000</v>
      </c>
      <c r="Y37">
        <v>3960</v>
      </c>
    </row>
    <row r="38" spans="1:25">
      <c r="A38" t="s">
        <v>653</v>
      </c>
      <c r="T38">
        <v>1</v>
      </c>
    </row>
    <row r="39" spans="1:25">
      <c r="A39" t="s">
        <v>235</v>
      </c>
      <c r="I39">
        <v>60</v>
      </c>
      <c r="J39">
        <v>150</v>
      </c>
      <c r="K39">
        <v>50</v>
      </c>
      <c r="L39">
        <v>61.779000000000003</v>
      </c>
      <c r="M39">
        <v>99</v>
      </c>
      <c r="N39">
        <v>63</v>
      </c>
      <c r="O39">
        <v>70</v>
      </c>
      <c r="P39">
        <v>70</v>
      </c>
      <c r="Q39">
        <v>2</v>
      </c>
      <c r="R39">
        <v>2</v>
      </c>
      <c r="S39">
        <v>6</v>
      </c>
      <c r="T39">
        <v>2</v>
      </c>
      <c r="U39">
        <v>2</v>
      </c>
      <c r="V39">
        <v>2</v>
      </c>
    </row>
    <row r="40" spans="1:25">
      <c r="A40" t="s">
        <v>35</v>
      </c>
      <c r="B40">
        <v>637</v>
      </c>
      <c r="C40">
        <v>520</v>
      </c>
      <c r="D40">
        <v>543</v>
      </c>
      <c r="E40">
        <v>500</v>
      </c>
      <c r="F40">
        <v>515</v>
      </c>
      <c r="G40">
        <v>500</v>
      </c>
      <c r="H40">
        <v>600</v>
      </c>
      <c r="I40">
        <v>620</v>
      </c>
      <c r="J40">
        <v>620</v>
      </c>
      <c r="K40">
        <v>620</v>
      </c>
      <c r="L40">
        <v>1635</v>
      </c>
      <c r="M40">
        <v>1678</v>
      </c>
      <c r="N40">
        <v>3292</v>
      </c>
      <c r="O40">
        <v>3427</v>
      </c>
      <c r="P40">
        <v>3911</v>
      </c>
      <c r="Q40">
        <v>3409</v>
      </c>
      <c r="R40">
        <v>3854</v>
      </c>
      <c r="S40">
        <v>3519</v>
      </c>
      <c r="W40">
        <v>1700</v>
      </c>
      <c r="X40">
        <v>1635</v>
      </c>
      <c r="Y40">
        <v>1573</v>
      </c>
    </row>
    <row r="41" spans="1:25">
      <c r="A41" t="s">
        <v>236</v>
      </c>
      <c r="G41">
        <v>40</v>
      </c>
      <c r="H41">
        <v>50</v>
      </c>
      <c r="I41">
        <v>50</v>
      </c>
      <c r="J41">
        <v>95</v>
      </c>
      <c r="K41">
        <v>207</v>
      </c>
      <c r="L41">
        <v>250</v>
      </c>
      <c r="M41">
        <v>333</v>
      </c>
      <c r="N41">
        <v>418</v>
      </c>
      <c r="O41">
        <v>400</v>
      </c>
      <c r="P41">
        <v>380</v>
      </c>
      <c r="Q41">
        <v>253</v>
      </c>
      <c r="R41">
        <v>255</v>
      </c>
      <c r="S41">
        <v>439</v>
      </c>
      <c r="T41">
        <v>471</v>
      </c>
      <c r="U41">
        <v>616</v>
      </c>
      <c r="V41">
        <v>685</v>
      </c>
      <c r="W41">
        <v>522</v>
      </c>
      <c r="X41">
        <v>645</v>
      </c>
      <c r="Y41">
        <v>806</v>
      </c>
    </row>
    <row r="42" spans="1:25">
      <c r="A42" t="s">
        <v>36</v>
      </c>
      <c r="B42">
        <v>4439</v>
      </c>
      <c r="C42">
        <v>4230.3999999999996</v>
      </c>
      <c r="D42">
        <v>4231</v>
      </c>
      <c r="E42">
        <v>4563.5640000000003</v>
      </c>
      <c r="F42">
        <v>4579.5370000000003</v>
      </c>
      <c r="G42">
        <v>5239.8050000000003</v>
      </c>
      <c r="H42">
        <v>6439.4009999999998</v>
      </c>
      <c r="I42">
        <v>6810.4049999999997</v>
      </c>
      <c r="J42">
        <v>7250</v>
      </c>
      <c r="K42">
        <v>7740</v>
      </c>
      <c r="L42">
        <v>7823</v>
      </c>
      <c r="M42">
        <v>6698</v>
      </c>
      <c r="N42">
        <v>9160</v>
      </c>
      <c r="O42">
        <v>10626</v>
      </c>
      <c r="P42">
        <v>10132</v>
      </c>
      <c r="Q42">
        <v>10126</v>
      </c>
      <c r="R42">
        <v>10731</v>
      </c>
      <c r="S42">
        <v>10908</v>
      </c>
      <c r="T42">
        <v>11418</v>
      </c>
      <c r="U42">
        <v>13100</v>
      </c>
      <c r="V42">
        <v>14200</v>
      </c>
      <c r="W42">
        <v>15100</v>
      </c>
      <c r="X42">
        <v>13300</v>
      </c>
      <c r="Y42">
        <v>18100</v>
      </c>
    </row>
    <row r="43" spans="1:25">
      <c r="A43" t="s">
        <v>237</v>
      </c>
      <c r="Q43">
        <v>1057</v>
      </c>
      <c r="R43">
        <v>154</v>
      </c>
      <c r="S43">
        <v>107</v>
      </c>
      <c r="T43">
        <v>17</v>
      </c>
      <c r="X43">
        <v>43</v>
      </c>
      <c r="Y43">
        <v>68</v>
      </c>
    </row>
    <row r="44" spans="1:25">
      <c r="A44" t="s">
        <v>340</v>
      </c>
      <c r="B44">
        <v>16</v>
      </c>
      <c r="C44">
        <v>16</v>
      </c>
      <c r="D44">
        <v>15</v>
      </c>
      <c r="E44">
        <v>14.5</v>
      </c>
      <c r="F44">
        <v>15</v>
      </c>
      <c r="G44">
        <v>14</v>
      </c>
      <c r="H44">
        <v>14</v>
      </c>
      <c r="I44">
        <v>14</v>
      </c>
      <c r="J44">
        <v>14</v>
      </c>
      <c r="K44">
        <v>14</v>
      </c>
      <c r="L44">
        <v>14</v>
      </c>
      <c r="M44">
        <v>14</v>
      </c>
      <c r="N44">
        <v>14</v>
      </c>
      <c r="O44">
        <v>14</v>
      </c>
      <c r="P44">
        <v>14</v>
      </c>
    </row>
    <row r="45" spans="1:25">
      <c r="A45" t="s">
        <v>85</v>
      </c>
      <c r="B45">
        <v>459</v>
      </c>
      <c r="C45">
        <v>131</v>
      </c>
      <c r="G45">
        <v>304</v>
      </c>
      <c r="H45">
        <v>275</v>
      </c>
      <c r="I45">
        <v>265</v>
      </c>
      <c r="J45">
        <v>39.908999999999999</v>
      </c>
      <c r="K45">
        <v>10.922000000000001</v>
      </c>
    </row>
    <row r="46" spans="1:25">
      <c r="A46" t="s">
        <v>37</v>
      </c>
      <c r="B46">
        <v>72343</v>
      </c>
      <c r="C46">
        <v>81311</v>
      </c>
      <c r="D46">
        <v>86630</v>
      </c>
      <c r="E46">
        <v>82500</v>
      </c>
      <c r="F46">
        <v>84236.4</v>
      </c>
      <c r="G46">
        <v>91759.8</v>
      </c>
      <c r="H46">
        <v>96980</v>
      </c>
      <c r="I46">
        <v>96764.4</v>
      </c>
      <c r="J46">
        <v>102000</v>
      </c>
      <c r="K46">
        <v>105000</v>
      </c>
      <c r="L46">
        <v>99900</v>
      </c>
      <c r="M46">
        <v>92000</v>
      </c>
      <c r="N46">
        <v>95900</v>
      </c>
      <c r="O46">
        <v>104000</v>
      </c>
      <c r="P46">
        <v>105000</v>
      </c>
      <c r="Q46">
        <v>102157</v>
      </c>
      <c r="R46">
        <v>102019</v>
      </c>
      <c r="S46">
        <v>101049</v>
      </c>
      <c r="T46">
        <v>101097</v>
      </c>
      <c r="U46">
        <v>95042</v>
      </c>
      <c r="V46">
        <v>96063</v>
      </c>
      <c r="W46">
        <v>97531</v>
      </c>
      <c r="X46">
        <v>100015</v>
      </c>
      <c r="Y46">
        <v>95977</v>
      </c>
    </row>
    <row r="47" spans="1:25">
      <c r="A47" t="s">
        <v>343</v>
      </c>
      <c r="B47">
        <v>100</v>
      </c>
      <c r="C47">
        <v>50</v>
      </c>
      <c r="D47">
        <v>50</v>
      </c>
    </row>
    <row r="48" spans="1:25">
      <c r="A48" t="s">
        <v>239</v>
      </c>
      <c r="Q48">
        <v>20300</v>
      </c>
      <c r="R48">
        <v>19429</v>
      </c>
      <c r="S48">
        <v>2624</v>
      </c>
      <c r="T48">
        <v>4720</v>
      </c>
      <c r="U48">
        <v>6985</v>
      </c>
      <c r="V48">
        <v>923</v>
      </c>
      <c r="W48">
        <v>171</v>
      </c>
      <c r="X48">
        <v>6100</v>
      </c>
      <c r="Y48">
        <v>6100</v>
      </c>
    </row>
    <row r="49" spans="1:25">
      <c r="A49" t="s">
        <v>38</v>
      </c>
      <c r="B49">
        <v>479</v>
      </c>
      <c r="C49">
        <v>479</v>
      </c>
      <c r="D49">
        <v>477</v>
      </c>
      <c r="E49">
        <v>470</v>
      </c>
      <c r="F49">
        <v>450</v>
      </c>
      <c r="G49">
        <v>930</v>
      </c>
      <c r="H49">
        <v>850</v>
      </c>
      <c r="I49">
        <v>850</v>
      </c>
      <c r="J49">
        <v>700</v>
      </c>
      <c r="K49">
        <v>3626.6680000000001</v>
      </c>
      <c r="L49">
        <v>392</v>
      </c>
    </row>
    <row r="50" spans="1:25">
      <c r="A50" t="s">
        <v>240</v>
      </c>
      <c r="B50">
        <v>32948</v>
      </c>
      <c r="C50">
        <v>29507.848999999998</v>
      </c>
      <c r="D50">
        <v>33707.364000000001</v>
      </c>
      <c r="E50">
        <v>34757.159</v>
      </c>
      <c r="F50">
        <v>36484.014999999999</v>
      </c>
      <c r="G50">
        <v>38085.855000000003</v>
      </c>
      <c r="H50">
        <v>39322</v>
      </c>
      <c r="I50">
        <v>39542.072</v>
      </c>
      <c r="J50">
        <v>41326.036</v>
      </c>
      <c r="K50">
        <v>42083.080999999998</v>
      </c>
      <c r="L50">
        <v>48982.536999999997</v>
      </c>
      <c r="M50">
        <v>55313.053</v>
      </c>
      <c r="N50">
        <v>58709.33</v>
      </c>
      <c r="O50">
        <v>58056.896999999997</v>
      </c>
      <c r="P50">
        <v>63000</v>
      </c>
      <c r="Q50">
        <v>71645</v>
      </c>
      <c r="R50">
        <v>80759</v>
      </c>
      <c r="S50">
        <v>72806</v>
      </c>
      <c r="T50">
        <v>66456</v>
      </c>
      <c r="U50">
        <v>75091</v>
      </c>
      <c r="V50">
        <v>74273</v>
      </c>
      <c r="W50">
        <v>72407</v>
      </c>
      <c r="X50">
        <v>55635</v>
      </c>
      <c r="Y50">
        <v>73091</v>
      </c>
    </row>
    <row r="51" spans="1:25">
      <c r="A51" t="s">
        <v>654</v>
      </c>
      <c r="Q51">
        <v>1259</v>
      </c>
      <c r="R51">
        <v>603</v>
      </c>
    </row>
    <row r="52" spans="1:25">
      <c r="A52" t="s">
        <v>39</v>
      </c>
      <c r="B52">
        <v>20930</v>
      </c>
      <c r="C52">
        <v>18558</v>
      </c>
      <c r="D52">
        <v>20557</v>
      </c>
      <c r="E52">
        <v>19486</v>
      </c>
      <c r="F52">
        <v>20000</v>
      </c>
      <c r="G52">
        <v>21500</v>
      </c>
      <c r="H52">
        <v>22300</v>
      </c>
      <c r="I52">
        <v>23300</v>
      </c>
      <c r="J52">
        <v>23300</v>
      </c>
      <c r="K52">
        <v>24700</v>
      </c>
      <c r="L52">
        <v>27713</v>
      </c>
      <c r="M52">
        <v>20389</v>
      </c>
      <c r="N52">
        <v>27917</v>
      </c>
      <c r="O52">
        <v>22968</v>
      </c>
      <c r="P52">
        <v>23000</v>
      </c>
      <c r="Q52">
        <v>25300</v>
      </c>
      <c r="R52">
        <v>25700</v>
      </c>
      <c r="S52">
        <v>24500</v>
      </c>
      <c r="T52">
        <v>26900</v>
      </c>
      <c r="U52">
        <v>31077</v>
      </c>
      <c r="V52">
        <v>34876</v>
      </c>
      <c r="W52">
        <v>38235</v>
      </c>
      <c r="X52">
        <v>38619</v>
      </c>
      <c r="Y52">
        <v>40216</v>
      </c>
    </row>
    <row r="53" spans="1:25">
      <c r="A53" t="s">
        <v>40</v>
      </c>
      <c r="B53">
        <v>90.7</v>
      </c>
      <c r="C53">
        <v>122.633</v>
      </c>
      <c r="D53">
        <v>0</v>
      </c>
      <c r="E53">
        <v>0</v>
      </c>
      <c r="F53">
        <v>570.11</v>
      </c>
      <c r="G53">
        <v>9.6750000000000007</v>
      </c>
      <c r="H53">
        <v>135.58000000000001</v>
      </c>
      <c r="I53">
        <v>230.946</v>
      </c>
      <c r="J53">
        <v>264.28899999999999</v>
      </c>
      <c r="K53">
        <v>1554.86</v>
      </c>
      <c r="L53">
        <v>2029.1</v>
      </c>
      <c r="M53">
        <v>1400.8</v>
      </c>
      <c r="N53">
        <v>969.93700000000001</v>
      </c>
      <c r="O53">
        <v>970</v>
      </c>
      <c r="P53">
        <v>970</v>
      </c>
      <c r="Q53">
        <v>390</v>
      </c>
      <c r="R53">
        <v>348</v>
      </c>
      <c r="S53">
        <v>16</v>
      </c>
      <c r="U53">
        <v>0</v>
      </c>
      <c r="W53">
        <v>18</v>
      </c>
      <c r="X53">
        <v>113</v>
      </c>
      <c r="Y53">
        <v>113</v>
      </c>
    </row>
    <row r="54" spans="1:25">
      <c r="A54" t="s">
        <v>655</v>
      </c>
      <c r="Q54">
        <v>80</v>
      </c>
      <c r="R54">
        <v>89</v>
      </c>
      <c r="S54">
        <v>72</v>
      </c>
      <c r="T54">
        <v>60</v>
      </c>
      <c r="U54">
        <v>60</v>
      </c>
      <c r="V54">
        <v>60</v>
      </c>
      <c r="W54">
        <v>60</v>
      </c>
      <c r="X54">
        <v>60</v>
      </c>
      <c r="Y54">
        <v>60</v>
      </c>
    </row>
    <row r="55" spans="1:25">
      <c r="A55" t="s">
        <v>42</v>
      </c>
      <c r="B55">
        <v>219.6</v>
      </c>
      <c r="C55">
        <v>219</v>
      </c>
      <c r="D55">
        <v>182</v>
      </c>
      <c r="E55">
        <v>204</v>
      </c>
      <c r="F55">
        <v>197.5</v>
      </c>
      <c r="G55">
        <v>164</v>
      </c>
      <c r="H55">
        <v>256</v>
      </c>
      <c r="I55">
        <v>206</v>
      </c>
      <c r="J55">
        <v>214</v>
      </c>
      <c r="K55">
        <v>220</v>
      </c>
      <c r="L55">
        <v>211</v>
      </c>
      <c r="M55">
        <v>151</v>
      </c>
      <c r="N55">
        <v>180.5</v>
      </c>
      <c r="O55">
        <v>171</v>
      </c>
      <c r="P55">
        <v>175</v>
      </c>
      <c r="Q55">
        <v>244</v>
      </c>
      <c r="R55">
        <v>307</v>
      </c>
      <c r="S55">
        <v>300</v>
      </c>
      <c r="T55">
        <v>200</v>
      </c>
      <c r="U55">
        <v>198</v>
      </c>
      <c r="V55">
        <v>176</v>
      </c>
      <c r="W55">
        <v>187</v>
      </c>
      <c r="X55">
        <v>173</v>
      </c>
      <c r="Y55">
        <v>266</v>
      </c>
    </row>
    <row r="56" spans="1:25">
      <c r="A56" t="s">
        <v>45</v>
      </c>
      <c r="B56">
        <v>5885</v>
      </c>
      <c r="C56">
        <v>4846</v>
      </c>
      <c r="D56">
        <v>4076</v>
      </c>
      <c r="E56">
        <v>3932</v>
      </c>
      <c r="F56">
        <v>4500</v>
      </c>
      <c r="G56">
        <v>3429</v>
      </c>
      <c r="H56">
        <v>3857</v>
      </c>
      <c r="I56">
        <v>4598</v>
      </c>
      <c r="J56">
        <v>3251</v>
      </c>
      <c r="K56">
        <v>3800</v>
      </c>
      <c r="L56">
        <v>4697</v>
      </c>
      <c r="M56">
        <v>3855</v>
      </c>
      <c r="N56">
        <v>5814</v>
      </c>
      <c r="O56">
        <v>6450</v>
      </c>
      <c r="P56">
        <v>6300</v>
      </c>
      <c r="Q56">
        <v>8492</v>
      </c>
      <c r="R56">
        <v>6982</v>
      </c>
      <c r="S56">
        <v>6010</v>
      </c>
      <c r="T56">
        <v>6050</v>
      </c>
      <c r="U56">
        <v>9992</v>
      </c>
      <c r="V56">
        <v>9550</v>
      </c>
      <c r="W56">
        <v>16382</v>
      </c>
      <c r="X56">
        <v>21455</v>
      </c>
      <c r="Y56">
        <v>16051</v>
      </c>
    </row>
    <row r="57" spans="1:25">
      <c r="A57" t="s">
        <v>242</v>
      </c>
      <c r="B57">
        <v>0</v>
      </c>
      <c r="C57">
        <v>3.169</v>
      </c>
      <c r="D57">
        <v>4.6319999999999997</v>
      </c>
      <c r="E57">
        <v>1.236</v>
      </c>
      <c r="F57">
        <v>1.3</v>
      </c>
      <c r="Q57">
        <v>2</v>
      </c>
      <c r="R57">
        <v>42</v>
      </c>
      <c r="S57">
        <v>9</v>
      </c>
      <c r="T57">
        <v>2</v>
      </c>
      <c r="U57">
        <v>2</v>
      </c>
      <c r="V57">
        <v>5</v>
      </c>
    </row>
    <row r="58" spans="1:25">
      <c r="A58" t="s">
        <v>49</v>
      </c>
      <c r="B58">
        <v>50758</v>
      </c>
      <c r="C58">
        <v>47769.1</v>
      </c>
      <c r="D58">
        <v>55883.199999999997</v>
      </c>
      <c r="E58">
        <v>54650</v>
      </c>
      <c r="F58">
        <v>58900</v>
      </c>
      <c r="G58">
        <v>62497.599999999999</v>
      </c>
      <c r="H58">
        <v>65550</v>
      </c>
      <c r="I58">
        <v>68569.600000000006</v>
      </c>
      <c r="J58">
        <v>74000</v>
      </c>
      <c r="K58">
        <v>77900</v>
      </c>
      <c r="L58">
        <v>72688</v>
      </c>
      <c r="M58">
        <v>66476</v>
      </c>
      <c r="N58">
        <v>78170.7</v>
      </c>
      <c r="O58">
        <v>80580.800000000003</v>
      </c>
      <c r="P58">
        <v>81966.399999999994</v>
      </c>
      <c r="Q58">
        <v>70400</v>
      </c>
      <c r="R58">
        <v>68300</v>
      </c>
      <c r="S58">
        <v>66900</v>
      </c>
      <c r="T58">
        <v>62876</v>
      </c>
      <c r="U58">
        <v>60574</v>
      </c>
      <c r="V58">
        <v>60549</v>
      </c>
      <c r="W58">
        <v>63205</v>
      </c>
      <c r="X58">
        <v>78838</v>
      </c>
      <c r="Y58">
        <v>83845</v>
      </c>
    </row>
    <row r="59" spans="1:25">
      <c r="A59" t="s">
        <v>50</v>
      </c>
      <c r="B59">
        <v>1.1879999999999999</v>
      </c>
      <c r="C59">
        <v>1</v>
      </c>
      <c r="D59">
        <v>1.0329999999999999</v>
      </c>
      <c r="E59">
        <v>1</v>
      </c>
      <c r="F59">
        <v>0.5</v>
      </c>
      <c r="G59">
        <v>0.5</v>
      </c>
      <c r="H59">
        <v>0.5</v>
      </c>
      <c r="I59">
        <v>0</v>
      </c>
      <c r="J59">
        <v>0</v>
      </c>
      <c r="K59">
        <v>0</v>
      </c>
      <c r="L59">
        <v>0</v>
      </c>
    </row>
    <row r="60" spans="1:25">
      <c r="A60" t="s">
        <v>51</v>
      </c>
      <c r="B60">
        <v>62931</v>
      </c>
      <c r="C60">
        <v>57749</v>
      </c>
      <c r="D60">
        <v>63089</v>
      </c>
      <c r="E60">
        <v>46192</v>
      </c>
      <c r="F60">
        <v>51570</v>
      </c>
      <c r="G60">
        <v>48600</v>
      </c>
      <c r="H60">
        <v>54700</v>
      </c>
      <c r="I60">
        <v>54300</v>
      </c>
      <c r="J60">
        <v>52700</v>
      </c>
      <c r="K60">
        <v>52500</v>
      </c>
      <c r="L60">
        <v>53600</v>
      </c>
      <c r="M60">
        <v>26700</v>
      </c>
      <c r="N60">
        <v>49900</v>
      </c>
      <c r="O60">
        <v>54700</v>
      </c>
      <c r="P60">
        <v>54000</v>
      </c>
      <c r="Q60">
        <v>52800</v>
      </c>
      <c r="R60">
        <v>56100</v>
      </c>
      <c r="S60">
        <v>46100</v>
      </c>
      <c r="T60">
        <v>41800</v>
      </c>
      <c r="U60">
        <v>47900</v>
      </c>
      <c r="V60">
        <v>49500</v>
      </c>
      <c r="W60">
        <v>46900</v>
      </c>
      <c r="X60">
        <v>38100</v>
      </c>
      <c r="Y60">
        <v>47500</v>
      </c>
    </row>
    <row r="61" spans="1:25">
      <c r="A61" t="s">
        <v>352</v>
      </c>
      <c r="Q61">
        <v>10</v>
      </c>
      <c r="R61">
        <v>15</v>
      </c>
      <c r="S61">
        <v>12</v>
      </c>
      <c r="T61">
        <v>3</v>
      </c>
      <c r="U61">
        <v>3</v>
      </c>
      <c r="V61">
        <v>6</v>
      </c>
      <c r="W61">
        <v>6</v>
      </c>
      <c r="X61">
        <v>3</v>
      </c>
      <c r="Y61">
        <v>8</v>
      </c>
    </row>
    <row r="62" spans="1:25">
      <c r="A62" t="s">
        <v>52</v>
      </c>
      <c r="B62">
        <v>16552.755000000001</v>
      </c>
      <c r="C62">
        <v>14050.826999999999</v>
      </c>
      <c r="D62">
        <v>17352.963</v>
      </c>
      <c r="E62">
        <v>16902</v>
      </c>
      <c r="F62">
        <v>18000</v>
      </c>
      <c r="G62">
        <v>17954.494999999999</v>
      </c>
      <c r="H62">
        <v>19196</v>
      </c>
      <c r="I62">
        <v>20000</v>
      </c>
      <c r="J62">
        <v>23000</v>
      </c>
      <c r="K62">
        <v>23000</v>
      </c>
      <c r="L62">
        <v>20650</v>
      </c>
      <c r="M62">
        <v>24100</v>
      </c>
      <c r="N62">
        <v>22200</v>
      </c>
      <c r="O62">
        <v>27000</v>
      </c>
      <c r="P62">
        <v>27000</v>
      </c>
      <c r="Q62">
        <v>11198</v>
      </c>
      <c r="R62">
        <v>11256</v>
      </c>
      <c r="S62">
        <v>11716</v>
      </c>
      <c r="T62">
        <v>12000</v>
      </c>
      <c r="U62">
        <v>4005</v>
      </c>
      <c r="V62">
        <v>2474</v>
      </c>
      <c r="W62">
        <v>1096</v>
      </c>
      <c r="X62">
        <v>780</v>
      </c>
      <c r="Y62">
        <v>2257</v>
      </c>
    </row>
    <row r="63" spans="1:25">
      <c r="A63" t="s">
        <v>669</v>
      </c>
      <c r="G63">
        <v>1080</v>
      </c>
      <c r="H63">
        <v>990</v>
      </c>
      <c r="I63">
        <v>1009.4</v>
      </c>
      <c r="J63">
        <v>1020</v>
      </c>
      <c r="K63">
        <v>1060</v>
      </c>
      <c r="L63">
        <v>2587.9245283018868</v>
      </c>
      <c r="M63">
        <v>3593.3962264150941</v>
      </c>
      <c r="N63">
        <v>3720.9433962264147</v>
      </c>
      <c r="O63">
        <v>4168.3018867924529</v>
      </c>
      <c r="P63">
        <v>4170</v>
      </c>
      <c r="Q63">
        <v>4708</v>
      </c>
      <c r="R63">
        <v>5130</v>
      </c>
      <c r="S63">
        <v>5086</v>
      </c>
      <c r="T63">
        <v>5770</v>
      </c>
      <c r="U63">
        <v>5515</v>
      </c>
      <c r="V63">
        <v>5588</v>
      </c>
      <c r="W63">
        <v>6106</v>
      </c>
      <c r="X63">
        <v>3560</v>
      </c>
      <c r="Y63">
        <v>3651</v>
      </c>
    </row>
    <row r="64" spans="1:25">
      <c r="A64" t="s">
        <v>53</v>
      </c>
      <c r="B64">
        <v>371.589</v>
      </c>
      <c r="C64">
        <v>598.64400000000001</v>
      </c>
      <c r="D64">
        <v>450.63600000000002</v>
      </c>
      <c r="E64">
        <v>360.86200000000002</v>
      </c>
      <c r="F64">
        <v>271.81200000000001</v>
      </c>
      <c r="G64">
        <v>366.73700000000002</v>
      </c>
      <c r="H64">
        <v>283</v>
      </c>
      <c r="I64">
        <v>377</v>
      </c>
      <c r="J64">
        <v>104</v>
      </c>
      <c r="K64">
        <v>100</v>
      </c>
      <c r="L64">
        <v>3</v>
      </c>
    </row>
    <row r="65" spans="1:25">
      <c r="A65" t="s">
        <v>54</v>
      </c>
      <c r="B65">
        <v>1045112.275</v>
      </c>
      <c r="C65">
        <v>1016270.24</v>
      </c>
      <c r="D65">
        <v>1072687.804</v>
      </c>
      <c r="E65">
        <v>1050423.456</v>
      </c>
      <c r="F65">
        <v>1084949.7039999999</v>
      </c>
      <c r="G65">
        <v>1210000</v>
      </c>
      <c r="H65">
        <v>1360000</v>
      </c>
      <c r="I65">
        <v>1540000</v>
      </c>
      <c r="J65">
        <v>1820000</v>
      </c>
      <c r="K65">
        <v>2030000</v>
      </c>
      <c r="L65">
        <v>2210000</v>
      </c>
      <c r="M65">
        <v>2230000</v>
      </c>
      <c r="N65">
        <v>2590000</v>
      </c>
      <c r="O65">
        <v>2930000</v>
      </c>
      <c r="P65">
        <v>2930000</v>
      </c>
      <c r="Q65">
        <v>2190000</v>
      </c>
      <c r="R65">
        <v>2330000</v>
      </c>
      <c r="S65">
        <v>2310000</v>
      </c>
      <c r="T65">
        <v>2340000</v>
      </c>
      <c r="U65">
        <v>2440000</v>
      </c>
      <c r="V65">
        <v>2460000</v>
      </c>
      <c r="W65">
        <v>2450000</v>
      </c>
      <c r="X65">
        <v>2470000</v>
      </c>
      <c r="Y65">
        <v>2680000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DA99-87D0-5F4E-9460-5415A2B86743}">
  <dimension ref="A1:Y65"/>
  <sheetViews>
    <sheetView tabSelected="1" zoomScale="86" workbookViewId="0">
      <pane ySplit="1" topLeftCell="A30" activePane="bottomLeft" state="frozen"/>
      <selection pane="bottomLeft" activeCell="G54" sqref="G54"/>
    </sheetView>
  </sheetViews>
  <sheetFormatPr baseColWidth="10" defaultRowHeight="16"/>
  <cols>
    <col min="1" max="1" width="20.5" bestFit="1" customWidth="1"/>
  </cols>
  <sheetData>
    <row r="1" spans="1:25">
      <c r="A1" t="s">
        <v>652</v>
      </c>
      <c r="B1">
        <v>1998</v>
      </c>
      <c r="C1">
        <v>1999</v>
      </c>
      <c r="D1">
        <v>2000</v>
      </c>
      <c r="E1">
        <v>2001</v>
      </c>
      <c r="F1">
        <v>2002</v>
      </c>
      <c r="G1">
        <v>2003</v>
      </c>
      <c r="H1">
        <v>2004</v>
      </c>
      <c r="I1">
        <v>2005</v>
      </c>
      <c r="J1">
        <v>2006</v>
      </c>
      <c r="K1">
        <v>2007</v>
      </c>
      <c r="L1">
        <v>2008</v>
      </c>
      <c r="M1">
        <v>2009</v>
      </c>
      <c r="N1">
        <v>2010</v>
      </c>
      <c r="O1">
        <v>2011</v>
      </c>
      <c r="P1">
        <v>2012</v>
      </c>
      <c r="Q1">
        <v>2013</v>
      </c>
      <c r="R1">
        <v>2014</v>
      </c>
      <c r="S1">
        <v>2015</v>
      </c>
      <c r="T1">
        <v>2016</v>
      </c>
      <c r="U1">
        <v>2017</v>
      </c>
      <c r="V1">
        <v>2018</v>
      </c>
      <c r="W1">
        <v>2019</v>
      </c>
      <c r="X1">
        <v>2020</v>
      </c>
      <c r="Y1">
        <v>2021</v>
      </c>
    </row>
    <row r="2" spans="1:25">
      <c r="A2" t="s">
        <v>7</v>
      </c>
      <c r="B2">
        <v>900</v>
      </c>
      <c r="C2">
        <v>680</v>
      </c>
      <c r="D2">
        <v>830</v>
      </c>
      <c r="E2">
        <v>790</v>
      </c>
      <c r="F2">
        <v>1060</v>
      </c>
      <c r="G2">
        <v>700</v>
      </c>
      <c r="H2">
        <v>780</v>
      </c>
      <c r="I2">
        <v>800</v>
      </c>
      <c r="J2">
        <v>1180</v>
      </c>
      <c r="K2">
        <v>1000</v>
      </c>
      <c r="L2">
        <v>1050</v>
      </c>
      <c r="M2">
        <v>700</v>
      </c>
      <c r="N2">
        <v>671</v>
      </c>
      <c r="O2">
        <v>704</v>
      </c>
      <c r="P2">
        <v>715</v>
      </c>
      <c r="Q2">
        <v>565</v>
      </c>
      <c r="R2">
        <v>483</v>
      </c>
      <c r="S2">
        <v>500</v>
      </c>
      <c r="T2">
        <v>323</v>
      </c>
      <c r="U2">
        <v>263</v>
      </c>
      <c r="V2">
        <v>374</v>
      </c>
      <c r="W2">
        <v>402</v>
      </c>
      <c r="X2">
        <v>399</v>
      </c>
      <c r="Y2">
        <v>318</v>
      </c>
    </row>
    <row r="3" spans="1:25">
      <c r="A3" t="s">
        <v>224</v>
      </c>
      <c r="U3">
        <v>2200</v>
      </c>
      <c r="V3">
        <v>2260</v>
      </c>
      <c r="W3">
        <v>1820</v>
      </c>
      <c r="X3">
        <v>1460</v>
      </c>
      <c r="Y3">
        <v>2110</v>
      </c>
    </row>
    <row r="4" spans="1:25">
      <c r="A4" t="s">
        <v>10</v>
      </c>
      <c r="B4">
        <v>99418.888000000006</v>
      </c>
      <c r="C4">
        <v>95223</v>
      </c>
      <c r="D4">
        <v>104226</v>
      </c>
      <c r="E4">
        <v>112592</v>
      </c>
      <c r="F4">
        <v>113548</v>
      </c>
      <c r="G4">
        <v>132257</v>
      </c>
      <c r="H4">
        <v>145282</v>
      </c>
      <c r="I4">
        <v>165621</v>
      </c>
      <c r="J4">
        <v>170934</v>
      </c>
      <c r="K4">
        <v>186000</v>
      </c>
      <c r="L4">
        <v>209000</v>
      </c>
      <c r="M4">
        <v>228000</v>
      </c>
      <c r="N4">
        <v>271000</v>
      </c>
      <c r="O4">
        <v>277000</v>
      </c>
      <c r="P4">
        <v>315000</v>
      </c>
      <c r="Q4">
        <v>377760</v>
      </c>
      <c r="R4">
        <v>457409</v>
      </c>
      <c r="S4">
        <v>500994</v>
      </c>
      <c r="T4">
        <v>531075</v>
      </c>
      <c r="U4">
        <v>548297</v>
      </c>
      <c r="V4">
        <v>560055</v>
      </c>
      <c r="W4">
        <v>567957</v>
      </c>
      <c r="X4">
        <v>564141</v>
      </c>
      <c r="Y4">
        <v>565032</v>
      </c>
    </row>
    <row r="5" spans="1:25">
      <c r="A5" t="s">
        <v>11</v>
      </c>
      <c r="B5">
        <v>500</v>
      </c>
      <c r="C5">
        <v>500</v>
      </c>
      <c r="D5">
        <v>500</v>
      </c>
      <c r="E5">
        <v>575</v>
      </c>
      <c r="F5">
        <v>575</v>
      </c>
      <c r="G5">
        <v>702.5</v>
      </c>
      <c r="H5">
        <v>602</v>
      </c>
      <c r="I5">
        <v>640</v>
      </c>
      <c r="J5">
        <v>600</v>
      </c>
      <c r="K5">
        <v>600</v>
      </c>
      <c r="L5">
        <v>650.45500000000004</v>
      </c>
      <c r="M5">
        <v>640.68200000000002</v>
      </c>
      <c r="N5">
        <v>662.03300000000002</v>
      </c>
      <c r="O5">
        <v>706.21100000000001</v>
      </c>
      <c r="P5">
        <v>704</v>
      </c>
      <c r="Q5">
        <v>743</v>
      </c>
      <c r="R5">
        <v>780</v>
      </c>
      <c r="S5">
        <v>891</v>
      </c>
      <c r="T5">
        <v>889</v>
      </c>
      <c r="U5">
        <v>954</v>
      </c>
      <c r="V5">
        <v>897</v>
      </c>
      <c r="W5">
        <v>897</v>
      </c>
      <c r="X5">
        <v>843</v>
      </c>
      <c r="Y5">
        <v>840</v>
      </c>
    </row>
    <row r="6" spans="1:25">
      <c r="A6" t="s">
        <v>80</v>
      </c>
      <c r="B6">
        <v>3.63</v>
      </c>
      <c r="G6">
        <v>1.8</v>
      </c>
      <c r="H6">
        <v>9.5500000000000007</v>
      </c>
      <c r="I6">
        <v>3.65</v>
      </c>
      <c r="J6">
        <v>5.65</v>
      </c>
      <c r="K6">
        <v>8.6</v>
      </c>
      <c r="L6">
        <v>14</v>
      </c>
      <c r="N6">
        <v>32.9</v>
      </c>
      <c r="O6">
        <v>113.6</v>
      </c>
      <c r="P6">
        <v>121.9</v>
      </c>
      <c r="Q6">
        <v>68</v>
      </c>
      <c r="R6">
        <v>44</v>
      </c>
      <c r="S6">
        <v>61</v>
      </c>
      <c r="T6">
        <v>12</v>
      </c>
    </row>
    <row r="7" spans="1:25">
      <c r="A7" t="s">
        <v>225</v>
      </c>
      <c r="Q7">
        <v>13</v>
      </c>
      <c r="R7">
        <v>12</v>
      </c>
      <c r="S7">
        <v>27</v>
      </c>
      <c r="T7">
        <v>17</v>
      </c>
      <c r="U7">
        <v>20</v>
      </c>
      <c r="V7">
        <v>24</v>
      </c>
      <c r="W7">
        <v>23</v>
      </c>
      <c r="X7">
        <v>9</v>
      </c>
      <c r="Y7">
        <v>9</v>
      </c>
    </row>
    <row r="8" spans="1:25">
      <c r="A8" t="s">
        <v>81</v>
      </c>
      <c r="B8">
        <v>50</v>
      </c>
      <c r="C8">
        <v>50</v>
      </c>
      <c r="D8">
        <v>50</v>
      </c>
      <c r="E8">
        <v>50</v>
      </c>
      <c r="F8">
        <v>50</v>
      </c>
      <c r="G8">
        <v>63</v>
      </c>
      <c r="H8">
        <v>125</v>
      </c>
      <c r="I8">
        <v>1500</v>
      </c>
      <c r="J8">
        <v>1700</v>
      </c>
      <c r="K8">
        <v>1700</v>
      </c>
      <c r="L8">
        <v>622</v>
      </c>
      <c r="M8">
        <v>678</v>
      </c>
      <c r="N8">
        <v>588</v>
      </c>
      <c r="O8">
        <v>794</v>
      </c>
      <c r="P8">
        <v>798</v>
      </c>
      <c r="Q8">
        <v>1330</v>
      </c>
      <c r="R8">
        <v>1330</v>
      </c>
      <c r="S8">
        <v>1330</v>
      </c>
      <c r="T8">
        <v>1090</v>
      </c>
      <c r="U8">
        <v>1010</v>
      </c>
      <c r="V8">
        <v>856</v>
      </c>
      <c r="W8">
        <v>900</v>
      </c>
      <c r="X8">
        <v>885</v>
      </c>
      <c r="Y8">
        <v>963</v>
      </c>
    </row>
    <row r="9" spans="1:25">
      <c r="A9" t="s">
        <v>15</v>
      </c>
      <c r="B9">
        <v>124210</v>
      </c>
      <c r="C9">
        <v>124000</v>
      </c>
      <c r="D9">
        <v>125000</v>
      </c>
      <c r="E9">
        <v>125000</v>
      </c>
      <c r="F9">
        <v>125000</v>
      </c>
      <c r="G9">
        <v>153190</v>
      </c>
      <c r="H9">
        <v>173752</v>
      </c>
      <c r="I9">
        <v>186870</v>
      </c>
      <c r="J9">
        <v>207523.55</v>
      </c>
      <c r="K9">
        <v>233700</v>
      </c>
      <c r="L9">
        <v>233514</v>
      </c>
      <c r="M9">
        <v>198710</v>
      </c>
      <c r="N9">
        <v>247772</v>
      </c>
      <c r="O9">
        <v>257600</v>
      </c>
      <c r="P9">
        <v>257600</v>
      </c>
      <c r="Q9">
        <v>245668</v>
      </c>
      <c r="R9">
        <v>261500</v>
      </c>
      <c r="S9">
        <v>275590</v>
      </c>
      <c r="T9">
        <v>268000</v>
      </c>
      <c r="U9">
        <v>289000</v>
      </c>
      <c r="V9">
        <v>293000</v>
      </c>
      <c r="W9">
        <v>258000</v>
      </c>
      <c r="X9">
        <v>246791</v>
      </c>
      <c r="Y9">
        <v>272861</v>
      </c>
    </row>
    <row r="10" spans="1:25">
      <c r="A10" t="s">
        <v>16</v>
      </c>
      <c r="B10">
        <v>250</v>
      </c>
      <c r="C10">
        <v>223</v>
      </c>
      <c r="D10">
        <v>178</v>
      </c>
      <c r="E10">
        <v>92</v>
      </c>
      <c r="F10">
        <v>90</v>
      </c>
      <c r="G10">
        <v>127</v>
      </c>
      <c r="H10">
        <v>27</v>
      </c>
    </row>
    <row r="11" spans="1:25">
      <c r="A11" t="s">
        <v>226</v>
      </c>
      <c r="B11">
        <v>24082</v>
      </c>
      <c r="C11">
        <v>21650</v>
      </c>
      <c r="D11">
        <v>22744</v>
      </c>
      <c r="E11">
        <v>18186</v>
      </c>
      <c r="F11">
        <v>20750</v>
      </c>
      <c r="G11">
        <v>20993</v>
      </c>
      <c r="H11">
        <v>17801</v>
      </c>
      <c r="I11">
        <v>19333</v>
      </c>
      <c r="J11">
        <v>21341</v>
      </c>
      <c r="K11">
        <v>20751</v>
      </c>
      <c r="L11">
        <v>20300</v>
      </c>
      <c r="M11">
        <v>20000</v>
      </c>
      <c r="N11">
        <v>23300</v>
      </c>
      <c r="O11">
        <v>22500</v>
      </c>
      <c r="P11">
        <v>24900</v>
      </c>
      <c r="Q11">
        <v>25200</v>
      </c>
      <c r="R11">
        <v>25900</v>
      </c>
      <c r="S11">
        <v>27700</v>
      </c>
      <c r="T11">
        <v>28100</v>
      </c>
      <c r="U11">
        <v>30200</v>
      </c>
      <c r="V11">
        <v>31700</v>
      </c>
      <c r="W11">
        <v>35200</v>
      </c>
      <c r="X11">
        <v>36100</v>
      </c>
      <c r="Y11">
        <v>34500</v>
      </c>
    </row>
    <row r="12" spans="1:25">
      <c r="A12" t="s">
        <v>18</v>
      </c>
      <c r="B12">
        <v>5694</v>
      </c>
      <c r="C12">
        <v>5215</v>
      </c>
      <c r="D12">
        <v>5455</v>
      </c>
      <c r="E12">
        <v>5520</v>
      </c>
      <c r="F12">
        <v>5515</v>
      </c>
      <c r="G12">
        <v>4864.7179999999998</v>
      </c>
      <c r="H12">
        <v>4849.8779999999997</v>
      </c>
      <c r="I12">
        <v>4706.9560000000001</v>
      </c>
      <c r="J12">
        <v>5235</v>
      </c>
      <c r="K12">
        <v>5350</v>
      </c>
      <c r="L12">
        <v>5670</v>
      </c>
      <c r="M12">
        <v>5006</v>
      </c>
      <c r="N12">
        <v>5852</v>
      </c>
      <c r="O12">
        <v>7747</v>
      </c>
      <c r="P12">
        <v>9429</v>
      </c>
      <c r="Q12">
        <v>9088</v>
      </c>
      <c r="R12">
        <v>10149</v>
      </c>
      <c r="S12">
        <v>9148</v>
      </c>
      <c r="T12">
        <v>9009</v>
      </c>
      <c r="U12">
        <v>9549</v>
      </c>
      <c r="V12">
        <v>8493</v>
      </c>
      <c r="W12">
        <v>8427</v>
      </c>
      <c r="X12">
        <v>9891</v>
      </c>
      <c r="Y12">
        <v>11163</v>
      </c>
    </row>
    <row r="13" spans="1:25">
      <c r="A13" t="s">
        <v>227</v>
      </c>
      <c r="B13">
        <v>81200</v>
      </c>
      <c r="C13">
        <v>78200</v>
      </c>
      <c r="D13">
        <v>73500</v>
      </c>
      <c r="E13">
        <v>72600</v>
      </c>
      <c r="F13">
        <v>76200</v>
      </c>
      <c r="G13">
        <v>86000</v>
      </c>
      <c r="H13">
        <v>105000</v>
      </c>
      <c r="I13">
        <v>138000</v>
      </c>
      <c r="J13">
        <v>198000</v>
      </c>
      <c r="K13">
        <v>233000</v>
      </c>
      <c r="L13">
        <v>270000</v>
      </c>
      <c r="M13">
        <v>280000</v>
      </c>
      <c r="N13">
        <v>332000</v>
      </c>
      <c r="O13">
        <v>412000</v>
      </c>
      <c r="P13">
        <v>393000</v>
      </c>
      <c r="Q13">
        <v>258718</v>
      </c>
      <c r="R13">
        <v>254276</v>
      </c>
      <c r="S13">
        <v>232400</v>
      </c>
      <c r="T13">
        <v>215509</v>
      </c>
      <c r="U13">
        <v>215989</v>
      </c>
      <c r="V13">
        <v>209311</v>
      </c>
      <c r="W13">
        <v>219000</v>
      </c>
      <c r="X13">
        <v>225000</v>
      </c>
      <c r="Y13">
        <v>246000</v>
      </c>
    </row>
    <row r="14" spans="1:25">
      <c r="A14" t="s">
        <v>20</v>
      </c>
      <c r="B14">
        <v>282.2</v>
      </c>
      <c r="C14">
        <v>317</v>
      </c>
      <c r="D14">
        <v>363</v>
      </c>
      <c r="E14">
        <v>350</v>
      </c>
      <c r="F14">
        <v>358</v>
      </c>
      <c r="G14">
        <v>344</v>
      </c>
      <c r="H14">
        <v>323</v>
      </c>
      <c r="I14">
        <v>334</v>
      </c>
      <c r="J14">
        <v>354</v>
      </c>
      <c r="K14">
        <v>343</v>
      </c>
      <c r="L14">
        <v>300.173</v>
      </c>
      <c r="M14">
        <v>154</v>
      </c>
      <c r="N14">
        <v>42.4</v>
      </c>
      <c r="O14">
        <v>96</v>
      </c>
      <c r="P14">
        <v>95.3</v>
      </c>
      <c r="Q14">
        <v>426</v>
      </c>
      <c r="R14">
        <v>406</v>
      </c>
      <c r="S14">
        <v>541</v>
      </c>
      <c r="T14">
        <v>429</v>
      </c>
      <c r="U14">
        <v>428</v>
      </c>
      <c r="V14">
        <v>344</v>
      </c>
      <c r="W14">
        <v>391</v>
      </c>
      <c r="X14">
        <v>382</v>
      </c>
      <c r="Y14">
        <v>409</v>
      </c>
    </row>
    <row r="15" spans="1:25">
      <c r="A15" t="s">
        <v>656</v>
      </c>
      <c r="V15">
        <v>26</v>
      </c>
      <c r="W15">
        <v>46</v>
      </c>
      <c r="X15">
        <v>46</v>
      </c>
      <c r="Y15">
        <v>46</v>
      </c>
    </row>
    <row r="16" spans="1:25">
      <c r="A16" t="s">
        <v>21</v>
      </c>
      <c r="B16">
        <v>1500</v>
      </c>
      <c r="C16">
        <v>1350</v>
      </c>
      <c r="D16">
        <v>950</v>
      </c>
      <c r="E16">
        <v>1300</v>
      </c>
      <c r="F16">
        <v>1150</v>
      </c>
      <c r="G16">
        <v>1119</v>
      </c>
      <c r="H16">
        <v>1200</v>
      </c>
      <c r="I16">
        <v>1300</v>
      </c>
      <c r="J16">
        <v>1200</v>
      </c>
      <c r="K16">
        <v>1200</v>
      </c>
      <c r="L16">
        <v>89</v>
      </c>
      <c r="M16">
        <v>97.5</v>
      </c>
      <c r="N16">
        <v>128</v>
      </c>
      <c r="O16">
        <v>125</v>
      </c>
      <c r="P16">
        <v>125</v>
      </c>
      <c r="Q16">
        <v>889</v>
      </c>
      <c r="R16">
        <v>1050</v>
      </c>
      <c r="S16">
        <v>938</v>
      </c>
      <c r="T16">
        <v>318</v>
      </c>
      <c r="U16">
        <v>353</v>
      </c>
      <c r="V16">
        <v>312</v>
      </c>
      <c r="W16">
        <v>372</v>
      </c>
      <c r="X16">
        <v>347</v>
      </c>
      <c r="Y16">
        <v>347</v>
      </c>
    </row>
    <row r="17" spans="1:25">
      <c r="A17" t="s">
        <v>268</v>
      </c>
      <c r="B17">
        <v>75</v>
      </c>
      <c r="C17">
        <v>35</v>
      </c>
    </row>
    <row r="18" spans="1:25">
      <c r="A18" t="s">
        <v>22</v>
      </c>
      <c r="B18">
        <v>28</v>
      </c>
      <c r="C18">
        <v>14</v>
      </c>
      <c r="G18">
        <v>60.1</v>
      </c>
      <c r="H18">
        <v>57.7</v>
      </c>
      <c r="I18">
        <v>37.799999999999997</v>
      </c>
      <c r="J18">
        <v>43.7</v>
      </c>
      <c r="K18">
        <v>44</v>
      </c>
      <c r="L18">
        <v>47.786000000000001</v>
      </c>
      <c r="M18">
        <v>38.188000000000002</v>
      </c>
      <c r="N18">
        <v>40.987000000000002</v>
      </c>
      <c r="O18">
        <v>51.354999999999997</v>
      </c>
      <c r="P18">
        <v>47.2</v>
      </c>
      <c r="Q18">
        <v>43</v>
      </c>
      <c r="R18">
        <v>73</v>
      </c>
    </row>
    <row r="19" spans="1:25">
      <c r="A19" t="s">
        <v>326</v>
      </c>
      <c r="C19">
        <v>600</v>
      </c>
      <c r="D19">
        <v>575</v>
      </c>
      <c r="E19">
        <v>575</v>
      </c>
      <c r="F19">
        <v>575</v>
      </c>
      <c r="G19">
        <v>575</v>
      </c>
      <c r="H19">
        <v>575</v>
      </c>
      <c r="I19">
        <v>575</v>
      </c>
      <c r="J19">
        <v>575</v>
      </c>
      <c r="K19">
        <v>575</v>
      </c>
      <c r="L19">
        <v>575</v>
      </c>
      <c r="M19">
        <v>570</v>
      </c>
      <c r="N19">
        <v>570</v>
      </c>
      <c r="O19">
        <v>560</v>
      </c>
      <c r="P19">
        <v>550</v>
      </c>
      <c r="Q19">
        <v>550</v>
      </c>
      <c r="R19">
        <v>574</v>
      </c>
      <c r="S19">
        <v>580</v>
      </c>
      <c r="T19">
        <v>547</v>
      </c>
      <c r="U19">
        <v>566</v>
      </c>
      <c r="V19">
        <v>524</v>
      </c>
      <c r="W19">
        <v>435</v>
      </c>
      <c r="X19">
        <v>430</v>
      </c>
      <c r="Y19">
        <v>430</v>
      </c>
    </row>
    <row r="20" spans="1:25">
      <c r="A20" t="s">
        <v>23</v>
      </c>
      <c r="B20">
        <v>3.3</v>
      </c>
      <c r="C20">
        <v>6.8</v>
      </c>
      <c r="D20">
        <v>10.5</v>
      </c>
      <c r="E20">
        <v>9.6999999999999993</v>
      </c>
      <c r="F20">
        <v>9.6999999999999993</v>
      </c>
      <c r="G20">
        <v>1.59</v>
      </c>
      <c r="H20">
        <v>1.97</v>
      </c>
      <c r="I20">
        <v>7.88</v>
      </c>
      <c r="J20">
        <v>5.14</v>
      </c>
      <c r="K20">
        <v>5</v>
      </c>
      <c r="M20">
        <v>1.1000000000000001</v>
      </c>
    </row>
    <row r="21" spans="1:25">
      <c r="A21" t="s">
        <v>24</v>
      </c>
      <c r="B21">
        <v>48000</v>
      </c>
      <c r="C21">
        <v>44940</v>
      </c>
      <c r="D21">
        <v>48600</v>
      </c>
      <c r="E21">
        <v>50700</v>
      </c>
      <c r="F21">
        <v>51200</v>
      </c>
      <c r="G21">
        <v>63400</v>
      </c>
      <c r="H21">
        <v>77200</v>
      </c>
      <c r="I21">
        <v>90000</v>
      </c>
      <c r="J21">
        <v>102000</v>
      </c>
      <c r="K21">
        <v>115000</v>
      </c>
      <c r="L21">
        <v>136341</v>
      </c>
      <c r="M21">
        <v>138979</v>
      </c>
      <c r="N21">
        <v>134404</v>
      </c>
      <c r="O21">
        <v>113444</v>
      </c>
      <c r="P21">
        <v>91974</v>
      </c>
      <c r="Q21">
        <v>87060</v>
      </c>
      <c r="R21">
        <v>85560</v>
      </c>
      <c r="S21">
        <v>88287</v>
      </c>
      <c r="T21">
        <v>114000</v>
      </c>
      <c r="U21">
        <v>125000</v>
      </c>
      <c r="V21">
        <v>127000</v>
      </c>
      <c r="W21">
        <v>126000</v>
      </c>
      <c r="X21">
        <v>126000</v>
      </c>
      <c r="Y21">
        <v>169000</v>
      </c>
    </row>
    <row r="22" spans="1:25">
      <c r="A22" t="s">
        <v>25</v>
      </c>
      <c r="B22">
        <v>310</v>
      </c>
      <c r="C22">
        <v>320</v>
      </c>
      <c r="D22">
        <v>269</v>
      </c>
      <c r="E22">
        <v>258</v>
      </c>
      <c r="F22">
        <v>261</v>
      </c>
      <c r="G22">
        <v>140</v>
      </c>
      <c r="H22">
        <v>51</v>
      </c>
      <c r="I22">
        <v>18.399999999999999</v>
      </c>
      <c r="J22">
        <v>6.2</v>
      </c>
      <c r="K22">
        <v>4.5999999999999996</v>
      </c>
      <c r="L22">
        <v>37</v>
      </c>
      <c r="M22">
        <v>25</v>
      </c>
      <c r="N22">
        <v>26</v>
      </c>
      <c r="O22">
        <v>27</v>
      </c>
      <c r="P22">
        <v>29</v>
      </c>
      <c r="Q22">
        <v>14000</v>
      </c>
      <c r="R22">
        <v>3720</v>
      </c>
      <c r="S22">
        <v>260</v>
      </c>
      <c r="U22">
        <v>1100</v>
      </c>
      <c r="V22">
        <v>661</v>
      </c>
      <c r="W22">
        <v>1730</v>
      </c>
      <c r="X22">
        <v>1800</v>
      </c>
      <c r="Y22">
        <v>1070</v>
      </c>
    </row>
    <row r="23" spans="1:25">
      <c r="A23" t="s">
        <v>230</v>
      </c>
      <c r="B23">
        <v>5200</v>
      </c>
      <c r="C23">
        <v>5300</v>
      </c>
      <c r="D23">
        <v>6100</v>
      </c>
      <c r="E23">
        <v>5100</v>
      </c>
      <c r="F23">
        <v>5600</v>
      </c>
      <c r="G23">
        <v>9000</v>
      </c>
      <c r="H23">
        <v>8900</v>
      </c>
      <c r="I23">
        <v>9000</v>
      </c>
      <c r="J23">
        <v>13000</v>
      </c>
      <c r="K23">
        <v>15000</v>
      </c>
      <c r="L23">
        <v>15000</v>
      </c>
      <c r="M23">
        <v>16000</v>
      </c>
      <c r="N23">
        <v>16500</v>
      </c>
      <c r="O23">
        <v>16500</v>
      </c>
      <c r="P23">
        <v>17500</v>
      </c>
      <c r="Q23">
        <v>25300</v>
      </c>
      <c r="R23">
        <v>25700</v>
      </c>
      <c r="S23">
        <v>25800</v>
      </c>
      <c r="T23">
        <v>25800</v>
      </c>
      <c r="U23">
        <v>22200</v>
      </c>
      <c r="V23">
        <v>23900</v>
      </c>
      <c r="W23">
        <v>21700</v>
      </c>
      <c r="X23">
        <v>32500</v>
      </c>
      <c r="Y23">
        <v>47900</v>
      </c>
    </row>
    <row r="24" spans="1:25">
      <c r="A24" t="s">
        <v>26</v>
      </c>
      <c r="B24">
        <v>0.69899999999999995</v>
      </c>
      <c r="C24">
        <v>0.58899999999999997</v>
      </c>
      <c r="D24">
        <v>0.52300000000000002</v>
      </c>
      <c r="E24">
        <v>0</v>
      </c>
      <c r="F24">
        <v>0</v>
      </c>
    </row>
    <row r="25" spans="1:25">
      <c r="A25" t="s">
        <v>28</v>
      </c>
      <c r="B25">
        <v>4900</v>
      </c>
      <c r="C25">
        <v>5200</v>
      </c>
      <c r="D25">
        <v>9200</v>
      </c>
      <c r="E25">
        <v>8000</v>
      </c>
      <c r="F25">
        <v>8700</v>
      </c>
      <c r="G25">
        <v>10100</v>
      </c>
      <c r="H25">
        <v>11600</v>
      </c>
      <c r="I25">
        <v>11100</v>
      </c>
      <c r="J25">
        <v>12700</v>
      </c>
      <c r="K25">
        <v>13600</v>
      </c>
      <c r="L25">
        <v>12200</v>
      </c>
      <c r="M25">
        <v>12700</v>
      </c>
      <c r="N25">
        <v>13800</v>
      </c>
      <c r="O25">
        <v>14100</v>
      </c>
      <c r="P25">
        <v>14800</v>
      </c>
      <c r="Q25">
        <v>14724</v>
      </c>
      <c r="R25">
        <v>14946</v>
      </c>
      <c r="S25">
        <v>11566</v>
      </c>
      <c r="T25">
        <v>10101</v>
      </c>
      <c r="U25">
        <v>10812</v>
      </c>
      <c r="V25">
        <v>11728</v>
      </c>
      <c r="W25">
        <v>11643</v>
      </c>
      <c r="X25">
        <v>12673</v>
      </c>
      <c r="Y25">
        <v>13121</v>
      </c>
    </row>
    <row r="26" spans="1:25">
      <c r="A26" t="s">
        <v>29</v>
      </c>
      <c r="D26">
        <v>0</v>
      </c>
      <c r="E26">
        <v>0</v>
      </c>
      <c r="F26">
        <v>0</v>
      </c>
      <c r="G26">
        <v>0</v>
      </c>
      <c r="H26">
        <v>0</v>
      </c>
      <c r="I26">
        <v>0</v>
      </c>
      <c r="J26">
        <v>0</v>
      </c>
      <c r="K26">
        <v>0</v>
      </c>
      <c r="M26">
        <v>4.2</v>
      </c>
      <c r="N26">
        <v>6.6</v>
      </c>
      <c r="O26">
        <v>6.6</v>
      </c>
      <c r="P26">
        <v>6.6</v>
      </c>
      <c r="V26">
        <v>94</v>
      </c>
      <c r="W26">
        <v>90</v>
      </c>
      <c r="X26">
        <v>44</v>
      </c>
      <c r="Y26">
        <v>45</v>
      </c>
    </row>
    <row r="27" spans="1:25">
      <c r="A27" t="s">
        <v>231</v>
      </c>
      <c r="B27">
        <v>850</v>
      </c>
      <c r="C27">
        <v>1100</v>
      </c>
      <c r="D27">
        <v>1200</v>
      </c>
      <c r="E27">
        <v>1200</v>
      </c>
      <c r="F27">
        <v>1300</v>
      </c>
      <c r="G27">
        <v>1260</v>
      </c>
      <c r="H27">
        <v>1300</v>
      </c>
      <c r="I27">
        <v>1400</v>
      </c>
      <c r="J27">
        <v>1400</v>
      </c>
      <c r="K27">
        <v>1400</v>
      </c>
      <c r="L27">
        <v>1488</v>
      </c>
      <c r="M27">
        <v>1500</v>
      </c>
      <c r="N27">
        <v>1500</v>
      </c>
      <c r="O27">
        <v>1500</v>
      </c>
      <c r="P27">
        <v>1500</v>
      </c>
      <c r="Q27">
        <v>3401</v>
      </c>
      <c r="R27">
        <v>3392</v>
      </c>
      <c r="S27">
        <v>3042</v>
      </c>
      <c r="T27">
        <v>3254</v>
      </c>
      <c r="U27">
        <v>3560</v>
      </c>
      <c r="V27">
        <v>2030</v>
      </c>
      <c r="W27">
        <v>1750</v>
      </c>
      <c r="X27">
        <v>1600</v>
      </c>
      <c r="Y27">
        <v>1640</v>
      </c>
    </row>
    <row r="28" spans="1:25">
      <c r="A28" t="s">
        <v>31</v>
      </c>
      <c r="B28">
        <v>272.3</v>
      </c>
      <c r="C28">
        <v>229</v>
      </c>
      <c r="D28">
        <v>188.3</v>
      </c>
      <c r="E28">
        <v>109</v>
      </c>
      <c r="F28">
        <v>110</v>
      </c>
      <c r="G28">
        <v>97</v>
      </c>
      <c r="H28">
        <v>127</v>
      </c>
      <c r="I28">
        <v>119</v>
      </c>
      <c r="J28">
        <v>155</v>
      </c>
      <c r="K28">
        <v>175</v>
      </c>
      <c r="L28">
        <v>205</v>
      </c>
      <c r="M28">
        <v>274</v>
      </c>
      <c r="N28">
        <v>308</v>
      </c>
      <c r="O28">
        <v>320</v>
      </c>
      <c r="P28">
        <v>300</v>
      </c>
      <c r="Q28">
        <v>414</v>
      </c>
      <c r="R28">
        <v>433</v>
      </c>
      <c r="S28">
        <v>278</v>
      </c>
      <c r="T28">
        <v>278</v>
      </c>
      <c r="U28">
        <v>174</v>
      </c>
      <c r="V28">
        <v>214</v>
      </c>
      <c r="W28">
        <v>192</v>
      </c>
      <c r="X28">
        <v>322</v>
      </c>
      <c r="Y28">
        <v>302</v>
      </c>
    </row>
    <row r="29" spans="1:25">
      <c r="A29" t="s">
        <v>232</v>
      </c>
      <c r="Q29">
        <v>561</v>
      </c>
      <c r="R29">
        <v>712</v>
      </c>
      <c r="S29">
        <v>146</v>
      </c>
      <c r="T29">
        <v>71</v>
      </c>
      <c r="U29">
        <v>155</v>
      </c>
      <c r="V29">
        <v>62</v>
      </c>
      <c r="W29">
        <v>292</v>
      </c>
      <c r="X29">
        <v>628</v>
      </c>
      <c r="Y29">
        <v>2180</v>
      </c>
    </row>
    <row r="30" spans="1:25">
      <c r="A30" t="s">
        <v>233</v>
      </c>
      <c r="Q30">
        <v>2936</v>
      </c>
      <c r="R30">
        <v>3590</v>
      </c>
      <c r="S30">
        <v>2830</v>
      </c>
      <c r="T30">
        <v>878</v>
      </c>
      <c r="U30">
        <v>1210</v>
      </c>
      <c r="V30">
        <v>2460</v>
      </c>
      <c r="W30">
        <v>2770</v>
      </c>
      <c r="X30">
        <v>3050</v>
      </c>
      <c r="Y30">
        <v>3130</v>
      </c>
    </row>
    <row r="31" spans="1:25">
      <c r="A31" t="s">
        <v>336</v>
      </c>
      <c r="B31">
        <v>9</v>
      </c>
      <c r="C31">
        <v>9</v>
      </c>
      <c r="D31">
        <v>9</v>
      </c>
      <c r="E31">
        <v>9</v>
      </c>
      <c r="F31">
        <v>9</v>
      </c>
      <c r="G31">
        <v>6</v>
      </c>
      <c r="H31">
        <v>6</v>
      </c>
      <c r="I31">
        <v>6</v>
      </c>
      <c r="J31">
        <v>6</v>
      </c>
      <c r="K31">
        <v>6</v>
      </c>
    </row>
    <row r="32" spans="1:25">
      <c r="A32" t="s">
        <v>32</v>
      </c>
      <c r="B32">
        <v>243</v>
      </c>
      <c r="C32">
        <v>216</v>
      </c>
      <c r="D32">
        <v>168</v>
      </c>
      <c r="E32">
        <v>241</v>
      </c>
      <c r="F32">
        <v>260</v>
      </c>
      <c r="G32">
        <v>382</v>
      </c>
      <c r="H32">
        <v>424</v>
      </c>
      <c r="I32">
        <v>606</v>
      </c>
      <c r="J32">
        <v>426</v>
      </c>
      <c r="K32">
        <v>440</v>
      </c>
      <c r="L32">
        <v>560</v>
      </c>
      <c r="M32">
        <v>838</v>
      </c>
      <c r="N32">
        <v>1970</v>
      </c>
      <c r="O32">
        <v>4380</v>
      </c>
      <c r="P32">
        <v>4500</v>
      </c>
      <c r="Q32">
        <v>7580</v>
      </c>
      <c r="R32">
        <v>6010</v>
      </c>
      <c r="S32">
        <v>1020</v>
      </c>
      <c r="T32">
        <v>1150</v>
      </c>
      <c r="U32">
        <v>2450</v>
      </c>
      <c r="V32">
        <v>2090</v>
      </c>
      <c r="W32">
        <v>2600</v>
      </c>
      <c r="X32">
        <v>3360</v>
      </c>
      <c r="Y32">
        <v>3120</v>
      </c>
    </row>
    <row r="33" spans="1:25">
      <c r="A33" t="s">
        <v>33</v>
      </c>
      <c r="B33">
        <v>7410</v>
      </c>
      <c r="C33">
        <v>6800</v>
      </c>
      <c r="D33">
        <v>6800</v>
      </c>
      <c r="E33">
        <v>6700</v>
      </c>
      <c r="F33">
        <v>6300</v>
      </c>
      <c r="G33">
        <v>6890</v>
      </c>
      <c r="H33">
        <v>6900</v>
      </c>
      <c r="I33">
        <v>7000</v>
      </c>
      <c r="J33">
        <v>6950</v>
      </c>
      <c r="K33">
        <v>7700</v>
      </c>
      <c r="L33">
        <v>7340</v>
      </c>
      <c r="M33">
        <v>6840</v>
      </c>
      <c r="N33">
        <v>7500</v>
      </c>
      <c r="O33">
        <v>7250</v>
      </c>
      <c r="P33">
        <v>7200</v>
      </c>
      <c r="Q33">
        <v>7480</v>
      </c>
      <c r="R33">
        <v>8320</v>
      </c>
      <c r="S33">
        <v>7250</v>
      </c>
      <c r="T33">
        <v>8290</v>
      </c>
      <c r="U33">
        <v>7320</v>
      </c>
      <c r="V33">
        <v>6694</v>
      </c>
      <c r="W33">
        <v>7625</v>
      </c>
      <c r="X33">
        <v>7822</v>
      </c>
      <c r="Y33">
        <v>8005</v>
      </c>
    </row>
    <row r="34" spans="1:25">
      <c r="A34" t="s">
        <v>234</v>
      </c>
      <c r="B34">
        <v>6334.2569999999996</v>
      </c>
      <c r="C34">
        <v>6885</v>
      </c>
      <c r="D34">
        <v>6795</v>
      </c>
      <c r="E34">
        <v>5270</v>
      </c>
      <c r="F34">
        <v>5400</v>
      </c>
      <c r="G34">
        <v>6759</v>
      </c>
      <c r="H34">
        <v>6890</v>
      </c>
      <c r="I34">
        <v>7012</v>
      </c>
      <c r="J34">
        <v>6590</v>
      </c>
      <c r="K34">
        <v>7323.1210000000001</v>
      </c>
      <c r="L34">
        <v>7013</v>
      </c>
      <c r="M34">
        <v>7006.5</v>
      </c>
      <c r="N34">
        <v>8400</v>
      </c>
      <c r="O34">
        <v>7722.424</v>
      </c>
      <c r="P34">
        <v>7750</v>
      </c>
      <c r="Q34">
        <v>11780</v>
      </c>
      <c r="R34">
        <v>10400</v>
      </c>
      <c r="S34">
        <v>8414</v>
      </c>
      <c r="T34">
        <v>7560</v>
      </c>
      <c r="U34">
        <v>11713</v>
      </c>
      <c r="V34">
        <v>14021</v>
      </c>
      <c r="W34">
        <v>7141</v>
      </c>
      <c r="X34">
        <v>5859</v>
      </c>
      <c r="Y34">
        <v>6807</v>
      </c>
    </row>
    <row r="35" spans="1:25">
      <c r="A35" t="s">
        <v>102</v>
      </c>
      <c r="L35">
        <v>888</v>
      </c>
      <c r="M35">
        <v>883</v>
      </c>
      <c r="N35">
        <v>2050</v>
      </c>
      <c r="O35">
        <v>3600</v>
      </c>
      <c r="P35">
        <v>4760</v>
      </c>
      <c r="Q35">
        <v>4076</v>
      </c>
      <c r="R35">
        <v>4535</v>
      </c>
      <c r="S35">
        <v>3637</v>
      </c>
      <c r="T35">
        <v>2960</v>
      </c>
      <c r="U35">
        <v>4620</v>
      </c>
      <c r="V35">
        <v>3740</v>
      </c>
      <c r="W35">
        <v>5140</v>
      </c>
      <c r="X35">
        <v>5530</v>
      </c>
      <c r="Y35">
        <v>4260</v>
      </c>
    </row>
    <row r="36" spans="1:25">
      <c r="A36" t="s">
        <v>34</v>
      </c>
      <c r="B36">
        <v>6.22</v>
      </c>
      <c r="C36">
        <v>4.4000000000000004</v>
      </c>
      <c r="D36">
        <v>3.7</v>
      </c>
      <c r="E36">
        <v>5</v>
      </c>
      <c r="F36">
        <v>1.06</v>
      </c>
      <c r="G36">
        <v>3.4</v>
      </c>
      <c r="H36">
        <v>5.3</v>
      </c>
      <c r="I36">
        <v>5.3</v>
      </c>
      <c r="J36">
        <v>5.3</v>
      </c>
      <c r="K36">
        <v>5.3</v>
      </c>
      <c r="L36">
        <v>12.366</v>
      </c>
      <c r="M36">
        <v>15.87071388069857</v>
      </c>
      <c r="N36">
        <v>24.119</v>
      </c>
      <c r="O36">
        <v>42.62</v>
      </c>
      <c r="P36">
        <v>42.6</v>
      </c>
      <c r="Q36">
        <v>163</v>
      </c>
      <c r="R36">
        <v>12</v>
      </c>
      <c r="S36">
        <v>10</v>
      </c>
      <c r="T36">
        <v>5</v>
      </c>
      <c r="U36">
        <v>55</v>
      </c>
      <c r="V36">
        <v>28</v>
      </c>
      <c r="W36">
        <v>11</v>
      </c>
      <c r="X36">
        <v>17</v>
      </c>
      <c r="Y36">
        <v>10</v>
      </c>
    </row>
    <row r="37" spans="1:25">
      <c r="A37" t="s">
        <v>277</v>
      </c>
      <c r="B37">
        <v>635</v>
      </c>
      <c r="C37">
        <v>691</v>
      </c>
      <c r="D37">
        <v>807.5</v>
      </c>
      <c r="E37">
        <v>480</v>
      </c>
      <c r="F37">
        <v>450</v>
      </c>
      <c r="G37">
        <v>580</v>
      </c>
      <c r="H37">
        <v>690</v>
      </c>
      <c r="I37">
        <v>654</v>
      </c>
      <c r="J37">
        <v>620</v>
      </c>
      <c r="K37">
        <v>620</v>
      </c>
      <c r="L37">
        <v>1200</v>
      </c>
      <c r="M37">
        <v>1200</v>
      </c>
      <c r="N37">
        <v>1400</v>
      </c>
      <c r="O37">
        <v>1300</v>
      </c>
      <c r="P37">
        <v>1320</v>
      </c>
      <c r="Q37">
        <v>1800</v>
      </c>
      <c r="R37">
        <v>1850</v>
      </c>
      <c r="S37">
        <v>1820</v>
      </c>
      <c r="T37">
        <v>1993</v>
      </c>
      <c r="U37">
        <v>2280</v>
      </c>
      <c r="V37">
        <v>2270</v>
      </c>
      <c r="W37">
        <v>2270</v>
      </c>
      <c r="X37">
        <v>2270</v>
      </c>
      <c r="Y37">
        <v>2260</v>
      </c>
    </row>
    <row r="38" spans="1:25">
      <c r="A38" t="s">
        <v>653</v>
      </c>
      <c r="T38">
        <v>0</v>
      </c>
    </row>
    <row r="39" spans="1:25">
      <c r="A39" t="s">
        <v>235</v>
      </c>
      <c r="I39">
        <v>22</v>
      </c>
      <c r="J39">
        <v>54</v>
      </c>
      <c r="K39">
        <v>18</v>
      </c>
      <c r="L39">
        <v>23</v>
      </c>
      <c r="M39">
        <v>37</v>
      </c>
      <c r="N39">
        <v>20</v>
      </c>
      <c r="O39">
        <v>26</v>
      </c>
      <c r="P39">
        <v>26</v>
      </c>
      <c r="Q39">
        <v>1</v>
      </c>
      <c r="R39">
        <v>1</v>
      </c>
      <c r="S39">
        <v>4</v>
      </c>
      <c r="T39">
        <v>1</v>
      </c>
      <c r="U39">
        <v>1</v>
      </c>
      <c r="V39">
        <v>1</v>
      </c>
    </row>
    <row r="40" spans="1:25">
      <c r="A40" t="s">
        <v>35</v>
      </c>
      <c r="B40">
        <v>382</v>
      </c>
      <c r="C40">
        <v>355</v>
      </c>
      <c r="D40">
        <v>369</v>
      </c>
      <c r="E40">
        <v>340</v>
      </c>
      <c r="F40">
        <v>350</v>
      </c>
      <c r="G40">
        <v>340</v>
      </c>
      <c r="H40">
        <v>408</v>
      </c>
      <c r="I40">
        <v>420</v>
      </c>
      <c r="J40">
        <v>420</v>
      </c>
      <c r="K40">
        <v>400</v>
      </c>
      <c r="L40">
        <v>839</v>
      </c>
      <c r="M40">
        <v>891</v>
      </c>
      <c r="N40">
        <v>1926</v>
      </c>
      <c r="O40">
        <v>2047</v>
      </c>
      <c r="P40">
        <v>2405</v>
      </c>
      <c r="Q40">
        <v>2114</v>
      </c>
      <c r="R40">
        <v>2390</v>
      </c>
      <c r="S40">
        <v>2182</v>
      </c>
      <c r="W40">
        <v>1100</v>
      </c>
      <c r="X40">
        <v>1020</v>
      </c>
      <c r="Y40">
        <v>983</v>
      </c>
    </row>
    <row r="41" spans="1:25">
      <c r="A41" t="s">
        <v>236</v>
      </c>
      <c r="G41">
        <v>20</v>
      </c>
      <c r="H41">
        <v>25</v>
      </c>
      <c r="I41">
        <v>25</v>
      </c>
      <c r="J41">
        <v>48</v>
      </c>
      <c r="K41">
        <v>104</v>
      </c>
      <c r="L41">
        <v>125</v>
      </c>
      <c r="M41">
        <v>167</v>
      </c>
      <c r="N41">
        <v>210</v>
      </c>
      <c r="O41">
        <v>200</v>
      </c>
      <c r="P41">
        <v>190</v>
      </c>
      <c r="Q41">
        <v>81</v>
      </c>
      <c r="R41">
        <v>82</v>
      </c>
      <c r="S41">
        <v>140</v>
      </c>
      <c r="T41">
        <v>151</v>
      </c>
      <c r="U41">
        <v>197</v>
      </c>
      <c r="V41">
        <v>219</v>
      </c>
      <c r="W41">
        <v>167</v>
      </c>
      <c r="X41">
        <v>206</v>
      </c>
      <c r="Y41">
        <v>258</v>
      </c>
    </row>
    <row r="42" spans="1:25">
      <c r="A42" t="s">
        <v>36</v>
      </c>
      <c r="B42">
        <v>2850</v>
      </c>
      <c r="C42">
        <v>2715.3919999999998</v>
      </c>
      <c r="D42">
        <v>2812.7849999999999</v>
      </c>
      <c r="E42">
        <v>3087.0149999999999</v>
      </c>
      <c r="F42">
        <v>3092.88</v>
      </c>
      <c r="G42">
        <v>3541</v>
      </c>
      <c r="H42">
        <v>4315</v>
      </c>
      <c r="I42">
        <v>4565</v>
      </c>
      <c r="J42">
        <v>4861.3789999999999</v>
      </c>
      <c r="K42">
        <v>5185.4939999999997</v>
      </c>
      <c r="L42">
        <v>5244</v>
      </c>
      <c r="M42">
        <v>4490</v>
      </c>
      <c r="N42">
        <v>6140</v>
      </c>
      <c r="O42">
        <v>7123</v>
      </c>
      <c r="P42">
        <v>6792</v>
      </c>
      <c r="Q42">
        <v>6788</v>
      </c>
      <c r="R42">
        <v>7193</v>
      </c>
      <c r="S42">
        <v>7321</v>
      </c>
      <c r="T42">
        <v>7663</v>
      </c>
      <c r="U42">
        <v>8806</v>
      </c>
      <c r="V42">
        <v>9534</v>
      </c>
      <c r="W42">
        <v>10120</v>
      </c>
      <c r="X42">
        <v>8894</v>
      </c>
      <c r="Y42">
        <v>12149</v>
      </c>
    </row>
    <row r="43" spans="1:25">
      <c r="A43" t="s">
        <v>237</v>
      </c>
      <c r="Q43">
        <v>674</v>
      </c>
      <c r="R43">
        <v>98</v>
      </c>
      <c r="S43">
        <v>68</v>
      </c>
      <c r="T43">
        <v>11</v>
      </c>
      <c r="X43">
        <v>27</v>
      </c>
      <c r="Y43">
        <v>43</v>
      </c>
    </row>
    <row r="44" spans="1:25">
      <c r="A44" t="s">
        <v>340</v>
      </c>
      <c r="B44">
        <v>6.7</v>
      </c>
      <c r="C44">
        <v>6.5</v>
      </c>
      <c r="D44">
        <v>6</v>
      </c>
      <c r="E44">
        <v>5</v>
      </c>
      <c r="F44">
        <v>5</v>
      </c>
      <c r="G44">
        <v>10</v>
      </c>
      <c r="H44">
        <v>10</v>
      </c>
      <c r="I44">
        <v>10</v>
      </c>
      <c r="J44">
        <v>10</v>
      </c>
      <c r="K44">
        <v>10</v>
      </c>
      <c r="L44">
        <v>10</v>
      </c>
      <c r="M44">
        <v>10</v>
      </c>
      <c r="N44">
        <v>10</v>
      </c>
      <c r="O44">
        <v>10</v>
      </c>
      <c r="P44">
        <v>10</v>
      </c>
    </row>
    <row r="45" spans="1:25">
      <c r="A45" t="s">
        <v>85</v>
      </c>
      <c r="B45">
        <v>85</v>
      </c>
      <c r="C45">
        <v>71</v>
      </c>
      <c r="G45">
        <v>81.822999999999993</v>
      </c>
      <c r="H45">
        <v>74.331000000000003</v>
      </c>
      <c r="I45">
        <v>69.084999999999994</v>
      </c>
      <c r="J45">
        <v>3.3</v>
      </c>
      <c r="K45">
        <v>2.5</v>
      </c>
    </row>
    <row r="46" spans="1:25">
      <c r="A46" t="s">
        <v>37</v>
      </c>
      <c r="B46">
        <v>41700</v>
      </c>
      <c r="C46">
        <v>46900</v>
      </c>
      <c r="D46">
        <v>50000</v>
      </c>
      <c r="E46">
        <v>48000</v>
      </c>
      <c r="F46">
        <v>49000</v>
      </c>
      <c r="G46">
        <v>53000</v>
      </c>
      <c r="H46">
        <v>56200</v>
      </c>
      <c r="I46">
        <v>56100</v>
      </c>
      <c r="J46">
        <v>59100</v>
      </c>
      <c r="K46">
        <v>60800</v>
      </c>
      <c r="L46">
        <v>57800</v>
      </c>
      <c r="M46">
        <v>53200</v>
      </c>
      <c r="N46">
        <v>56581</v>
      </c>
      <c r="O46">
        <v>61360</v>
      </c>
      <c r="P46">
        <v>64000</v>
      </c>
      <c r="Q46">
        <v>60300</v>
      </c>
      <c r="R46">
        <v>60200</v>
      </c>
      <c r="S46">
        <v>59619</v>
      </c>
      <c r="T46">
        <v>59647</v>
      </c>
      <c r="U46">
        <v>56074</v>
      </c>
      <c r="V46">
        <v>56700</v>
      </c>
      <c r="W46">
        <v>64287</v>
      </c>
      <c r="X46">
        <v>69500</v>
      </c>
      <c r="Y46">
        <v>66700</v>
      </c>
    </row>
    <row r="47" spans="1:25">
      <c r="A47" t="s">
        <v>343</v>
      </c>
      <c r="B47">
        <v>31</v>
      </c>
      <c r="C47">
        <v>15</v>
      </c>
      <c r="D47">
        <v>15</v>
      </c>
    </row>
    <row r="48" spans="1:25">
      <c r="A48" t="s">
        <v>239</v>
      </c>
      <c r="Q48">
        <v>11900</v>
      </c>
      <c r="R48">
        <v>11300</v>
      </c>
      <c r="S48">
        <v>1500</v>
      </c>
      <c r="T48">
        <v>2700</v>
      </c>
      <c r="U48">
        <v>4050</v>
      </c>
      <c r="V48">
        <v>535</v>
      </c>
      <c r="W48">
        <v>97</v>
      </c>
      <c r="X48">
        <v>3500</v>
      </c>
      <c r="Y48">
        <v>3500</v>
      </c>
    </row>
    <row r="49" spans="1:25">
      <c r="A49" t="s">
        <v>38</v>
      </c>
      <c r="B49">
        <v>215</v>
      </c>
      <c r="C49">
        <v>200</v>
      </c>
      <c r="D49">
        <v>200</v>
      </c>
      <c r="E49">
        <v>200</v>
      </c>
      <c r="F49">
        <v>200</v>
      </c>
      <c r="G49">
        <v>326</v>
      </c>
      <c r="H49">
        <v>302</v>
      </c>
      <c r="I49">
        <v>259</v>
      </c>
      <c r="J49">
        <v>250</v>
      </c>
      <c r="K49">
        <v>1300</v>
      </c>
      <c r="L49">
        <v>133</v>
      </c>
    </row>
    <row r="50" spans="1:25">
      <c r="A50" t="s">
        <v>240</v>
      </c>
      <c r="B50">
        <v>20400</v>
      </c>
      <c r="C50">
        <v>18442</v>
      </c>
      <c r="D50">
        <v>21570</v>
      </c>
      <c r="E50">
        <v>22240</v>
      </c>
      <c r="F50">
        <v>23350</v>
      </c>
      <c r="G50">
        <v>24000</v>
      </c>
      <c r="H50">
        <v>24800</v>
      </c>
      <c r="I50">
        <v>25000</v>
      </c>
      <c r="J50">
        <v>26100</v>
      </c>
      <c r="K50">
        <v>26600</v>
      </c>
      <c r="L50">
        <v>30800</v>
      </c>
      <c r="M50">
        <v>34800</v>
      </c>
      <c r="N50">
        <v>36900</v>
      </c>
      <c r="O50">
        <v>36500</v>
      </c>
      <c r="P50">
        <v>40500</v>
      </c>
      <c r="Q50">
        <v>45700</v>
      </c>
      <c r="R50">
        <v>51500</v>
      </c>
      <c r="S50">
        <v>46424</v>
      </c>
      <c r="T50">
        <v>42000</v>
      </c>
      <c r="U50">
        <v>47600</v>
      </c>
      <c r="V50">
        <v>47200</v>
      </c>
      <c r="W50">
        <v>46100</v>
      </c>
      <c r="X50">
        <v>35400</v>
      </c>
      <c r="Y50">
        <v>46500</v>
      </c>
    </row>
    <row r="51" spans="1:25">
      <c r="A51" t="s">
        <v>654</v>
      </c>
      <c r="Q51">
        <v>550</v>
      </c>
      <c r="R51">
        <v>264</v>
      </c>
    </row>
    <row r="52" spans="1:25">
      <c r="A52" t="s">
        <v>39</v>
      </c>
      <c r="B52">
        <v>12977</v>
      </c>
      <c r="C52">
        <v>11506</v>
      </c>
      <c r="D52">
        <v>13556</v>
      </c>
      <c r="E52">
        <v>12811</v>
      </c>
      <c r="F52">
        <v>13000</v>
      </c>
      <c r="G52">
        <v>14100</v>
      </c>
      <c r="H52">
        <v>14700</v>
      </c>
      <c r="I52">
        <v>15300</v>
      </c>
      <c r="J52">
        <v>15000</v>
      </c>
      <c r="K52">
        <v>16000</v>
      </c>
      <c r="L52">
        <v>16628</v>
      </c>
      <c r="M52">
        <v>12233</v>
      </c>
      <c r="N52">
        <v>16750</v>
      </c>
      <c r="O52">
        <v>15159</v>
      </c>
      <c r="P52">
        <v>15000</v>
      </c>
      <c r="Q52">
        <v>15700</v>
      </c>
      <c r="R52">
        <v>15900</v>
      </c>
      <c r="S52">
        <v>15200</v>
      </c>
      <c r="T52">
        <v>16700</v>
      </c>
      <c r="U52">
        <v>22100</v>
      </c>
      <c r="V52">
        <v>24800</v>
      </c>
      <c r="W52">
        <v>27100</v>
      </c>
      <c r="X52">
        <v>27400</v>
      </c>
      <c r="Y52">
        <v>28600</v>
      </c>
    </row>
    <row r="53" spans="1:25">
      <c r="A53" t="s">
        <v>40</v>
      </c>
      <c r="B53">
        <v>46</v>
      </c>
      <c r="C53">
        <v>61</v>
      </c>
      <c r="D53">
        <v>0</v>
      </c>
      <c r="E53">
        <v>0</v>
      </c>
      <c r="F53">
        <v>285</v>
      </c>
      <c r="G53">
        <v>4.8</v>
      </c>
      <c r="H53">
        <v>68</v>
      </c>
      <c r="I53">
        <v>116</v>
      </c>
      <c r="J53">
        <v>132</v>
      </c>
      <c r="K53">
        <v>891.91</v>
      </c>
      <c r="L53">
        <v>855</v>
      </c>
      <c r="M53">
        <v>800</v>
      </c>
      <c r="N53">
        <v>485</v>
      </c>
      <c r="O53">
        <v>485</v>
      </c>
      <c r="P53">
        <v>485</v>
      </c>
      <c r="Q53">
        <v>242</v>
      </c>
      <c r="R53">
        <v>216</v>
      </c>
      <c r="S53">
        <v>10</v>
      </c>
      <c r="U53">
        <v>0</v>
      </c>
      <c r="W53">
        <v>11</v>
      </c>
      <c r="X53">
        <v>74</v>
      </c>
      <c r="Y53">
        <v>70</v>
      </c>
    </row>
    <row r="54" spans="1:25">
      <c r="A54" t="s">
        <v>655</v>
      </c>
      <c r="Q54">
        <v>24</v>
      </c>
      <c r="R54">
        <v>27</v>
      </c>
      <c r="S54">
        <v>22</v>
      </c>
      <c r="T54">
        <v>18</v>
      </c>
      <c r="U54">
        <v>18</v>
      </c>
      <c r="V54">
        <v>18</v>
      </c>
      <c r="W54">
        <v>18</v>
      </c>
      <c r="X54">
        <v>18</v>
      </c>
      <c r="Y54">
        <v>18</v>
      </c>
    </row>
    <row r="55" spans="1:25">
      <c r="A55" t="s">
        <v>42</v>
      </c>
      <c r="B55">
        <v>119</v>
      </c>
      <c r="C55">
        <v>119.6</v>
      </c>
      <c r="D55">
        <v>98</v>
      </c>
      <c r="E55">
        <v>109</v>
      </c>
      <c r="F55">
        <v>105.4</v>
      </c>
      <c r="G55">
        <v>87</v>
      </c>
      <c r="H55">
        <v>134</v>
      </c>
      <c r="I55">
        <v>108</v>
      </c>
      <c r="J55">
        <v>112</v>
      </c>
      <c r="K55">
        <v>115</v>
      </c>
      <c r="L55">
        <v>110</v>
      </c>
      <c r="M55">
        <v>79</v>
      </c>
      <c r="N55">
        <v>94</v>
      </c>
      <c r="O55">
        <v>79</v>
      </c>
      <c r="P55">
        <v>87</v>
      </c>
      <c r="Q55">
        <v>127</v>
      </c>
      <c r="R55">
        <v>160</v>
      </c>
      <c r="S55">
        <v>156</v>
      </c>
      <c r="T55">
        <v>125</v>
      </c>
      <c r="U55">
        <v>124</v>
      </c>
      <c r="V55">
        <v>110</v>
      </c>
      <c r="W55">
        <v>117</v>
      </c>
      <c r="X55">
        <v>108</v>
      </c>
      <c r="Y55">
        <v>166</v>
      </c>
    </row>
    <row r="56" spans="1:25">
      <c r="A56" t="s">
        <v>45</v>
      </c>
      <c r="B56">
        <v>3200</v>
      </c>
      <c r="C56">
        <v>2600</v>
      </c>
      <c r="D56">
        <v>2200</v>
      </c>
      <c r="E56">
        <v>2100</v>
      </c>
      <c r="F56">
        <v>2400</v>
      </c>
      <c r="G56">
        <v>1830</v>
      </c>
      <c r="H56">
        <v>2060</v>
      </c>
      <c r="I56">
        <v>2450</v>
      </c>
      <c r="J56">
        <v>1730</v>
      </c>
      <c r="K56">
        <v>2020</v>
      </c>
      <c r="L56">
        <v>2500</v>
      </c>
      <c r="M56">
        <v>2000</v>
      </c>
      <c r="N56">
        <v>3000</v>
      </c>
      <c r="O56">
        <v>3400</v>
      </c>
      <c r="P56">
        <v>3300</v>
      </c>
      <c r="Q56">
        <v>5138</v>
      </c>
      <c r="R56">
        <v>4224</v>
      </c>
      <c r="S56">
        <v>3636</v>
      </c>
      <c r="T56">
        <v>4320</v>
      </c>
      <c r="U56">
        <v>6050</v>
      </c>
      <c r="V56">
        <v>5777</v>
      </c>
      <c r="W56">
        <v>9110</v>
      </c>
      <c r="X56">
        <v>13000</v>
      </c>
      <c r="Y56">
        <v>9710</v>
      </c>
    </row>
    <row r="57" spans="1:25">
      <c r="A57" t="s">
        <v>242</v>
      </c>
      <c r="B57">
        <v>0</v>
      </c>
      <c r="C57">
        <v>2</v>
      </c>
      <c r="D57">
        <v>3</v>
      </c>
      <c r="R57">
        <v>27</v>
      </c>
      <c r="S57">
        <v>6</v>
      </c>
      <c r="T57">
        <v>1</v>
      </c>
      <c r="V57">
        <v>3</v>
      </c>
    </row>
    <row r="58" spans="1:25">
      <c r="A58" t="s">
        <v>49</v>
      </c>
      <c r="B58">
        <v>28000</v>
      </c>
      <c r="C58">
        <v>26200</v>
      </c>
      <c r="D58">
        <v>30600</v>
      </c>
      <c r="E58">
        <v>30000</v>
      </c>
      <c r="F58">
        <v>32300</v>
      </c>
      <c r="G58">
        <v>34300</v>
      </c>
      <c r="H58">
        <v>36000</v>
      </c>
      <c r="I58">
        <v>37700</v>
      </c>
      <c r="J58">
        <v>40700</v>
      </c>
      <c r="K58">
        <v>42800</v>
      </c>
      <c r="L58">
        <v>40000</v>
      </c>
      <c r="M58">
        <v>36600</v>
      </c>
      <c r="N58">
        <v>43000</v>
      </c>
      <c r="O58">
        <v>44300</v>
      </c>
      <c r="P58">
        <v>45100</v>
      </c>
      <c r="Q58">
        <v>44000</v>
      </c>
      <c r="R58">
        <v>42700</v>
      </c>
      <c r="S58">
        <v>41800</v>
      </c>
      <c r="T58">
        <v>39300</v>
      </c>
      <c r="U58">
        <v>37900</v>
      </c>
      <c r="V58">
        <v>37800</v>
      </c>
      <c r="W58">
        <v>39500</v>
      </c>
      <c r="X58">
        <v>49300</v>
      </c>
      <c r="Y58">
        <v>52400</v>
      </c>
    </row>
    <row r="59" spans="1:25">
      <c r="A59" t="s">
        <v>50</v>
      </c>
      <c r="B59">
        <v>0.6</v>
      </c>
      <c r="C59">
        <v>0.54</v>
      </c>
      <c r="D59">
        <v>0.56799999999999995</v>
      </c>
      <c r="E59">
        <v>0.5</v>
      </c>
      <c r="F59">
        <v>0</v>
      </c>
      <c r="G59">
        <v>0</v>
      </c>
      <c r="H59">
        <v>0</v>
      </c>
      <c r="I59">
        <v>0</v>
      </c>
      <c r="J59">
        <v>0</v>
      </c>
      <c r="K59">
        <v>0</v>
      </c>
    </row>
    <row r="60" spans="1:25">
      <c r="A60" t="s">
        <v>51</v>
      </c>
      <c r="B60">
        <v>39724</v>
      </c>
      <c r="C60">
        <v>36530</v>
      </c>
      <c r="D60">
        <v>39703</v>
      </c>
      <c r="E60">
        <v>29263</v>
      </c>
      <c r="F60">
        <v>32499</v>
      </c>
      <c r="G60">
        <v>30600</v>
      </c>
      <c r="H60">
        <v>34500</v>
      </c>
      <c r="I60">
        <v>34200</v>
      </c>
      <c r="J60">
        <v>33300</v>
      </c>
      <c r="K60">
        <v>33100</v>
      </c>
      <c r="L60">
        <v>33800</v>
      </c>
      <c r="M60">
        <v>16600</v>
      </c>
      <c r="N60">
        <v>31300</v>
      </c>
      <c r="O60">
        <v>34300</v>
      </c>
      <c r="P60">
        <v>33400</v>
      </c>
      <c r="Q60">
        <v>33300</v>
      </c>
      <c r="R60">
        <v>35400</v>
      </c>
      <c r="S60">
        <v>28800</v>
      </c>
      <c r="T60">
        <v>26400</v>
      </c>
      <c r="U60">
        <v>30300</v>
      </c>
      <c r="V60">
        <v>31300</v>
      </c>
      <c r="W60">
        <v>29800</v>
      </c>
      <c r="X60">
        <v>24100</v>
      </c>
      <c r="Y60">
        <v>30100</v>
      </c>
    </row>
    <row r="61" spans="1:25">
      <c r="A61" t="s">
        <v>352</v>
      </c>
      <c r="Q61">
        <v>4</v>
      </c>
      <c r="R61">
        <v>6</v>
      </c>
      <c r="S61">
        <v>5</v>
      </c>
      <c r="T61">
        <v>1</v>
      </c>
      <c r="U61">
        <v>2</v>
      </c>
      <c r="V61">
        <v>4</v>
      </c>
      <c r="W61">
        <v>4</v>
      </c>
      <c r="X61">
        <v>2</v>
      </c>
      <c r="Y61">
        <v>5</v>
      </c>
    </row>
    <row r="62" spans="1:25">
      <c r="A62" t="s">
        <v>52</v>
      </c>
      <c r="B62">
        <v>11014.203</v>
      </c>
      <c r="C62">
        <v>9292.2170000000006</v>
      </c>
      <c r="D62">
        <v>11092.013000000001</v>
      </c>
      <c r="E62">
        <v>10817</v>
      </c>
      <c r="F62">
        <v>11500</v>
      </c>
      <c r="G62">
        <v>11936</v>
      </c>
      <c r="H62">
        <v>12669</v>
      </c>
      <c r="I62">
        <v>13000</v>
      </c>
      <c r="J62">
        <v>15200</v>
      </c>
      <c r="K62">
        <v>15000</v>
      </c>
      <c r="L62">
        <v>13423</v>
      </c>
      <c r="M62">
        <v>15200</v>
      </c>
      <c r="N62">
        <v>14000</v>
      </c>
      <c r="O62">
        <v>17000</v>
      </c>
      <c r="P62">
        <v>17000</v>
      </c>
      <c r="Q62">
        <v>7000</v>
      </c>
      <c r="R62">
        <v>7000</v>
      </c>
      <c r="S62">
        <v>7300</v>
      </c>
      <c r="T62">
        <v>7500</v>
      </c>
      <c r="U62">
        <v>2500</v>
      </c>
      <c r="V62">
        <v>1550</v>
      </c>
      <c r="W62">
        <v>685</v>
      </c>
      <c r="X62">
        <v>487</v>
      </c>
      <c r="Y62">
        <v>1410</v>
      </c>
    </row>
    <row r="63" spans="1:25">
      <c r="A63" t="s">
        <v>86</v>
      </c>
      <c r="G63">
        <v>540</v>
      </c>
      <c r="H63">
        <v>495</v>
      </c>
      <c r="I63">
        <v>504.7</v>
      </c>
      <c r="J63">
        <v>510</v>
      </c>
      <c r="K63">
        <v>530</v>
      </c>
      <c r="L63">
        <v>1371.6</v>
      </c>
      <c r="M63">
        <v>1904.5</v>
      </c>
      <c r="N63">
        <v>1972.1</v>
      </c>
      <c r="O63">
        <v>2209.1999999999998</v>
      </c>
      <c r="P63">
        <v>2210</v>
      </c>
      <c r="Q63">
        <v>2495</v>
      </c>
      <c r="R63">
        <v>2719</v>
      </c>
      <c r="S63">
        <v>2691</v>
      </c>
      <c r="T63">
        <v>3056</v>
      </c>
      <c r="U63">
        <v>2920</v>
      </c>
      <c r="V63">
        <v>2962</v>
      </c>
      <c r="W63">
        <v>3236</v>
      </c>
      <c r="X63">
        <v>1890</v>
      </c>
      <c r="Y63">
        <v>1940</v>
      </c>
    </row>
    <row r="64" spans="1:25">
      <c r="A64" t="s">
        <v>53</v>
      </c>
      <c r="B64">
        <v>190</v>
      </c>
      <c r="C64">
        <v>300</v>
      </c>
      <c r="D64">
        <v>226</v>
      </c>
      <c r="E64">
        <v>184</v>
      </c>
      <c r="F64">
        <v>139</v>
      </c>
      <c r="G64">
        <v>180</v>
      </c>
      <c r="H64">
        <v>154</v>
      </c>
      <c r="I64">
        <v>200</v>
      </c>
      <c r="J64">
        <v>52</v>
      </c>
      <c r="K64">
        <v>50</v>
      </c>
      <c r="L64">
        <v>1</v>
      </c>
    </row>
    <row r="65" spans="1:25">
      <c r="A65" t="s">
        <v>54</v>
      </c>
      <c r="B65">
        <v>573308.18700000003</v>
      </c>
      <c r="C65">
        <v>555075.10800000001</v>
      </c>
      <c r="D65">
        <v>586974.23899999994</v>
      </c>
      <c r="E65">
        <v>574869.66799999995</v>
      </c>
      <c r="F65">
        <v>592699.77500000002</v>
      </c>
      <c r="G65">
        <v>675000</v>
      </c>
      <c r="H65">
        <v>751000</v>
      </c>
      <c r="I65">
        <v>837000</v>
      </c>
      <c r="J65">
        <v>950000</v>
      </c>
      <c r="K65">
        <v>1050000</v>
      </c>
      <c r="L65">
        <v>1130000</v>
      </c>
      <c r="M65">
        <v>1100000</v>
      </c>
      <c r="N65">
        <v>1280000</v>
      </c>
      <c r="O65">
        <v>1370000</v>
      </c>
      <c r="P65">
        <v>1390000</v>
      </c>
      <c r="Q65">
        <v>1340000</v>
      </c>
      <c r="R65">
        <v>1420000</v>
      </c>
      <c r="S65">
        <v>1420000</v>
      </c>
      <c r="T65">
        <v>1440000</v>
      </c>
      <c r="U65">
        <v>1530000</v>
      </c>
      <c r="V65">
        <v>1520000</v>
      </c>
      <c r="W65">
        <v>1520000</v>
      </c>
      <c r="X65">
        <v>1530000</v>
      </c>
      <c r="Y65">
        <v>1650000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2C3EF-B2F8-B842-B545-4C1FED46B25B}">
  <dimension ref="A1:Z67"/>
  <sheetViews>
    <sheetView workbookViewId="0">
      <selection activeCell="L24" sqref="L24"/>
    </sheetView>
  </sheetViews>
  <sheetFormatPr baseColWidth="10" defaultRowHeight="16"/>
  <sheetData>
    <row r="1" spans="1:26">
      <c r="A1" t="s">
        <v>652</v>
      </c>
      <c r="B1">
        <v>1998</v>
      </c>
      <c r="C1">
        <v>1999</v>
      </c>
      <c r="D1">
        <v>2000</v>
      </c>
      <c r="E1">
        <v>2001</v>
      </c>
      <c r="F1">
        <v>2002</v>
      </c>
      <c r="G1">
        <v>2003</v>
      </c>
      <c r="H1">
        <v>2004</v>
      </c>
      <c r="I1">
        <v>2005</v>
      </c>
      <c r="J1">
        <v>2006</v>
      </c>
      <c r="K1">
        <v>2007</v>
      </c>
      <c r="L1">
        <v>2008</v>
      </c>
      <c r="M1">
        <v>2009</v>
      </c>
      <c r="N1">
        <v>2010</v>
      </c>
      <c r="O1">
        <v>2011</v>
      </c>
      <c r="P1">
        <v>2012</v>
      </c>
      <c r="Q1">
        <v>2013</v>
      </c>
      <c r="R1">
        <v>2014</v>
      </c>
      <c r="S1">
        <v>2015</v>
      </c>
      <c r="T1">
        <v>2016</v>
      </c>
      <c r="U1">
        <v>2017</v>
      </c>
      <c r="V1">
        <v>2018</v>
      </c>
      <c r="W1">
        <v>2019</v>
      </c>
      <c r="X1">
        <v>2020</v>
      </c>
      <c r="Y1">
        <v>2021</v>
      </c>
      <c r="Z1">
        <v>2022</v>
      </c>
    </row>
    <row r="2" spans="1:26">
      <c r="A2" t="s">
        <v>424</v>
      </c>
      <c r="B2">
        <v>10</v>
      </c>
      <c r="C2">
        <v>10</v>
      </c>
      <c r="D2">
        <v>10</v>
      </c>
      <c r="E2">
        <v>10</v>
      </c>
      <c r="F2">
        <v>10</v>
      </c>
    </row>
    <row r="3" spans="1:26">
      <c r="A3" t="s">
        <v>7</v>
      </c>
      <c r="B3">
        <v>800</v>
      </c>
      <c r="C3">
        <v>1000</v>
      </c>
      <c r="D3">
        <v>1100</v>
      </c>
      <c r="E3">
        <v>1250</v>
      </c>
      <c r="F3">
        <v>1250</v>
      </c>
      <c r="G3">
        <v>1300</v>
      </c>
      <c r="H3">
        <v>994</v>
      </c>
      <c r="I3">
        <v>952</v>
      </c>
      <c r="J3">
        <v>1100</v>
      </c>
      <c r="K3">
        <v>1200</v>
      </c>
      <c r="L3">
        <v>690</v>
      </c>
      <c r="M3">
        <v>493</v>
      </c>
      <c r="N3">
        <v>696</v>
      </c>
      <c r="O3">
        <v>360</v>
      </c>
      <c r="P3">
        <v>400</v>
      </c>
      <c r="Q3">
        <v>300</v>
      </c>
      <c r="R3">
        <v>300</v>
      </c>
      <c r="S3">
        <v>300</v>
      </c>
      <c r="T3">
        <v>300</v>
      </c>
      <c r="U3">
        <v>300</v>
      </c>
      <c r="V3">
        <v>400</v>
      </c>
      <c r="W3">
        <v>1840</v>
      </c>
      <c r="X3">
        <v>2530</v>
      </c>
      <c r="Y3">
        <v>3380</v>
      </c>
      <c r="Z3">
        <v>4180</v>
      </c>
    </row>
    <row r="4" spans="1:26">
      <c r="A4" t="s">
        <v>224</v>
      </c>
      <c r="B4">
        <v>3659.7439999999997</v>
      </c>
      <c r="C4">
        <v>2974.2080000000001</v>
      </c>
      <c r="D4">
        <v>3608</v>
      </c>
      <c r="E4">
        <v>3189</v>
      </c>
      <c r="F4">
        <v>3360</v>
      </c>
      <c r="G4">
        <v>4138.6000000000004</v>
      </c>
      <c r="H4">
        <v>4147.5</v>
      </c>
      <c r="I4">
        <v>4468.5</v>
      </c>
      <c r="J4">
        <v>4428</v>
      </c>
      <c r="K4">
        <v>4403</v>
      </c>
      <c r="L4">
        <v>4428</v>
      </c>
      <c r="M4">
        <v>2849</v>
      </c>
      <c r="N4">
        <v>4098</v>
      </c>
      <c r="O4">
        <v>4445</v>
      </c>
      <c r="P4">
        <v>3684</v>
      </c>
      <c r="Q4">
        <v>4190</v>
      </c>
      <c r="R4">
        <v>4436</v>
      </c>
      <c r="S4">
        <v>3945</v>
      </c>
      <c r="T4">
        <v>2921</v>
      </c>
      <c r="U4">
        <v>2980</v>
      </c>
      <c r="V4">
        <v>3790</v>
      </c>
      <c r="W4">
        <v>2970</v>
      </c>
      <c r="X4">
        <v>2455</v>
      </c>
      <c r="Y4">
        <v>3550</v>
      </c>
      <c r="Z4">
        <v>3493</v>
      </c>
    </row>
    <row r="5" spans="1:26">
      <c r="A5" t="s">
        <v>10</v>
      </c>
      <c r="B5">
        <v>7724</v>
      </c>
      <c r="C5">
        <v>7468</v>
      </c>
      <c r="D5">
        <v>7000</v>
      </c>
      <c r="E5">
        <v>7200</v>
      </c>
      <c r="F5">
        <v>7300</v>
      </c>
      <c r="G5">
        <v>6116</v>
      </c>
      <c r="H5">
        <v>5735</v>
      </c>
      <c r="I5">
        <v>6203</v>
      </c>
      <c r="J5">
        <v>6276</v>
      </c>
      <c r="K5">
        <v>6369</v>
      </c>
      <c r="L5">
        <v>6409</v>
      </c>
      <c r="M5">
        <v>4370</v>
      </c>
      <c r="N5">
        <v>6259</v>
      </c>
      <c r="O5">
        <v>5369</v>
      </c>
      <c r="P5">
        <v>3711</v>
      </c>
      <c r="Q5">
        <v>3342</v>
      </c>
      <c r="R5">
        <v>3282</v>
      </c>
      <c r="S5">
        <v>3594</v>
      </c>
      <c r="T5">
        <v>3738</v>
      </c>
      <c r="U5">
        <v>3800</v>
      </c>
      <c r="V5">
        <v>3882</v>
      </c>
      <c r="W5">
        <v>3664</v>
      </c>
      <c r="X5">
        <v>3723</v>
      </c>
      <c r="Y5">
        <v>3751</v>
      </c>
      <c r="Z5">
        <v>3652</v>
      </c>
    </row>
    <row r="6" spans="1:26">
      <c r="A6" t="s">
        <v>11</v>
      </c>
      <c r="B6">
        <v>4022</v>
      </c>
      <c r="C6">
        <v>3913</v>
      </c>
      <c r="D6">
        <v>4318</v>
      </c>
      <c r="E6">
        <v>4300</v>
      </c>
      <c r="F6">
        <v>4300</v>
      </c>
      <c r="G6">
        <v>4677</v>
      </c>
      <c r="H6">
        <v>4847</v>
      </c>
      <c r="I6">
        <v>5444</v>
      </c>
      <c r="J6">
        <v>5547</v>
      </c>
      <c r="K6">
        <v>5907</v>
      </c>
      <c r="L6">
        <v>5795.0169999999998</v>
      </c>
      <c r="M6">
        <v>4353.2579999999998</v>
      </c>
      <c r="N6">
        <v>5621.1909999999998</v>
      </c>
      <c r="O6">
        <v>5815.47</v>
      </c>
      <c r="P6">
        <v>5751.357</v>
      </c>
      <c r="Q6">
        <v>6152</v>
      </c>
      <c r="R6">
        <v>6029</v>
      </c>
      <c r="S6">
        <v>5805</v>
      </c>
      <c r="T6">
        <v>5642</v>
      </c>
      <c r="U6">
        <v>6300</v>
      </c>
      <c r="V6">
        <v>5269</v>
      </c>
      <c r="W6">
        <v>5750</v>
      </c>
      <c r="X6">
        <v>5322</v>
      </c>
      <c r="Y6">
        <v>6144</v>
      </c>
      <c r="Z6">
        <v>5803</v>
      </c>
    </row>
    <row r="7" spans="1:26">
      <c r="A7" t="s">
        <v>665</v>
      </c>
      <c r="Q7">
        <v>780</v>
      </c>
      <c r="R7">
        <v>1440</v>
      </c>
      <c r="S7">
        <v>1230</v>
      </c>
      <c r="T7">
        <v>1260</v>
      </c>
      <c r="U7">
        <v>1260</v>
      </c>
      <c r="V7">
        <v>1600</v>
      </c>
      <c r="W7">
        <v>1450</v>
      </c>
      <c r="X7">
        <v>1380</v>
      </c>
      <c r="Y7">
        <v>1510</v>
      </c>
      <c r="Z7">
        <v>1420</v>
      </c>
    </row>
    <row r="8" spans="1:26">
      <c r="A8" t="s">
        <v>261</v>
      </c>
      <c r="B8">
        <v>8730</v>
      </c>
      <c r="C8">
        <v>8472</v>
      </c>
      <c r="D8">
        <v>8472</v>
      </c>
      <c r="E8">
        <v>7732</v>
      </c>
      <c r="F8">
        <v>8053</v>
      </c>
      <c r="G8">
        <v>7813</v>
      </c>
      <c r="H8">
        <v>8224</v>
      </c>
      <c r="I8">
        <v>7254</v>
      </c>
      <c r="J8">
        <v>7516</v>
      </c>
      <c r="K8">
        <v>6576</v>
      </c>
      <c r="L8">
        <v>7125</v>
      </c>
      <c r="M8">
        <v>3087</v>
      </c>
      <c r="N8">
        <v>4688</v>
      </c>
      <c r="O8">
        <v>4725</v>
      </c>
      <c r="P8">
        <v>4072</v>
      </c>
      <c r="Q8">
        <v>4343</v>
      </c>
      <c r="R8">
        <v>4388</v>
      </c>
      <c r="S8">
        <v>4248</v>
      </c>
      <c r="T8">
        <v>4869</v>
      </c>
      <c r="U8">
        <v>4900</v>
      </c>
      <c r="V8">
        <v>4754</v>
      </c>
      <c r="W8">
        <v>4818</v>
      </c>
      <c r="X8">
        <v>3647</v>
      </c>
      <c r="Y8">
        <v>4212</v>
      </c>
      <c r="Z8">
        <v>4270</v>
      </c>
    </row>
    <row r="9" spans="1:26">
      <c r="A9" t="s">
        <v>81</v>
      </c>
      <c r="B9">
        <v>100</v>
      </c>
      <c r="C9">
        <v>100</v>
      </c>
      <c r="D9">
        <v>100</v>
      </c>
      <c r="E9">
        <v>100</v>
      </c>
      <c r="F9">
        <v>100</v>
      </c>
      <c r="G9">
        <v>60</v>
      </c>
      <c r="H9">
        <v>60</v>
      </c>
      <c r="I9">
        <v>60</v>
      </c>
      <c r="J9">
        <v>60</v>
      </c>
      <c r="K9">
        <v>60</v>
      </c>
      <c r="L9">
        <v>243</v>
      </c>
      <c r="M9">
        <v>482.46899999999999</v>
      </c>
      <c r="N9">
        <v>620.93499999999995</v>
      </c>
      <c r="O9">
        <v>684.73400000000004</v>
      </c>
      <c r="P9">
        <v>749.53899999999999</v>
      </c>
      <c r="Q9">
        <v>759</v>
      </c>
      <c r="R9">
        <v>860</v>
      </c>
      <c r="S9">
        <v>845</v>
      </c>
      <c r="T9">
        <v>778</v>
      </c>
      <c r="U9">
        <v>778</v>
      </c>
      <c r="V9">
        <v>664</v>
      </c>
      <c r="W9">
        <v>745</v>
      </c>
      <c r="X9">
        <v>739</v>
      </c>
      <c r="Y9">
        <v>830</v>
      </c>
      <c r="Z9">
        <v>690</v>
      </c>
    </row>
    <row r="10" spans="1:26">
      <c r="A10" t="s">
        <v>15</v>
      </c>
      <c r="B10">
        <v>25447</v>
      </c>
      <c r="C10">
        <v>25460</v>
      </c>
      <c r="D10">
        <v>28141</v>
      </c>
      <c r="E10">
        <v>27841</v>
      </c>
      <c r="F10">
        <v>28181</v>
      </c>
      <c r="G10">
        <v>32446</v>
      </c>
      <c r="H10">
        <v>35019</v>
      </c>
      <c r="I10">
        <v>34793</v>
      </c>
      <c r="J10">
        <v>35395</v>
      </c>
      <c r="K10">
        <v>35920</v>
      </c>
      <c r="L10">
        <v>34871</v>
      </c>
      <c r="M10">
        <v>25135</v>
      </c>
      <c r="N10">
        <v>25000</v>
      </c>
      <c r="O10">
        <v>31000</v>
      </c>
      <c r="P10">
        <v>27000</v>
      </c>
      <c r="Q10">
        <v>26200</v>
      </c>
      <c r="R10">
        <v>27016</v>
      </c>
      <c r="S10">
        <v>27803</v>
      </c>
      <c r="T10">
        <v>26031</v>
      </c>
      <c r="U10">
        <v>28400</v>
      </c>
      <c r="V10">
        <v>28655</v>
      </c>
      <c r="W10">
        <v>26280</v>
      </c>
      <c r="X10">
        <v>24628</v>
      </c>
      <c r="Y10">
        <v>28403</v>
      </c>
      <c r="Z10">
        <v>26813</v>
      </c>
    </row>
    <row r="11" spans="1:26">
      <c r="A11" t="s">
        <v>16</v>
      </c>
      <c r="B11">
        <v>1389</v>
      </c>
      <c r="C11">
        <v>1130</v>
      </c>
      <c r="D11">
        <v>1220</v>
      </c>
      <c r="E11">
        <v>1160</v>
      </c>
      <c r="F11">
        <v>1120</v>
      </c>
      <c r="G11">
        <v>1386</v>
      </c>
      <c r="H11">
        <v>1158</v>
      </c>
      <c r="I11">
        <v>1081</v>
      </c>
      <c r="J11">
        <v>1147</v>
      </c>
      <c r="K11">
        <v>1069</v>
      </c>
      <c r="L11">
        <v>441</v>
      </c>
    </row>
    <row r="12" spans="1:26">
      <c r="A12" t="s">
        <v>659</v>
      </c>
      <c r="B12">
        <v>42</v>
      </c>
      <c r="C12">
        <v>41.5</v>
      </c>
      <c r="D12">
        <v>41.5</v>
      </c>
      <c r="E12">
        <v>41.5</v>
      </c>
      <c r="F12">
        <v>41.5</v>
      </c>
      <c r="G12">
        <v>40</v>
      </c>
      <c r="H12">
        <v>40</v>
      </c>
      <c r="I12">
        <v>40</v>
      </c>
      <c r="J12">
        <v>40</v>
      </c>
      <c r="K12">
        <v>40</v>
      </c>
      <c r="L12">
        <v>1.5</v>
      </c>
      <c r="M12">
        <v>1.5</v>
      </c>
      <c r="N12">
        <v>1.5</v>
      </c>
      <c r="O12">
        <v>1.5</v>
      </c>
      <c r="P12">
        <v>1.5</v>
      </c>
    </row>
    <row r="13" spans="1:26">
      <c r="A13" t="s">
        <v>226</v>
      </c>
      <c r="B13">
        <v>10177</v>
      </c>
      <c r="C13">
        <v>9703</v>
      </c>
      <c r="D13">
        <v>9820</v>
      </c>
      <c r="E13">
        <v>1798</v>
      </c>
      <c r="F13">
        <v>9720</v>
      </c>
      <c r="G13">
        <v>9058</v>
      </c>
      <c r="H13">
        <v>9919</v>
      </c>
      <c r="I13">
        <v>8865</v>
      </c>
      <c r="J13">
        <v>8751</v>
      </c>
      <c r="K13">
        <v>9487</v>
      </c>
      <c r="L13">
        <v>9460</v>
      </c>
      <c r="M13">
        <v>5300</v>
      </c>
      <c r="N13">
        <v>8266</v>
      </c>
      <c r="O13">
        <v>8022.6239999999998</v>
      </c>
      <c r="P13">
        <v>8494.18</v>
      </c>
      <c r="Q13">
        <v>7350</v>
      </c>
      <c r="R13">
        <v>8278</v>
      </c>
      <c r="S13">
        <v>7353</v>
      </c>
      <c r="T13">
        <v>7640</v>
      </c>
      <c r="U13">
        <v>7906</v>
      </c>
      <c r="V13">
        <v>8350</v>
      </c>
      <c r="W13">
        <v>7760</v>
      </c>
      <c r="X13">
        <v>6394</v>
      </c>
      <c r="Y13">
        <v>7856</v>
      </c>
      <c r="Z13">
        <v>7240</v>
      </c>
    </row>
    <row r="14" spans="1:26">
      <c r="A14" t="s">
        <v>18</v>
      </c>
      <c r="B14">
        <v>993</v>
      </c>
      <c r="C14">
        <v>1030</v>
      </c>
      <c r="D14">
        <v>1065</v>
      </c>
      <c r="E14">
        <v>897</v>
      </c>
      <c r="F14">
        <v>964</v>
      </c>
      <c r="G14">
        <v>987.86900000000003</v>
      </c>
      <c r="H14">
        <v>1137</v>
      </c>
      <c r="I14">
        <v>1074</v>
      </c>
      <c r="J14">
        <v>1115</v>
      </c>
      <c r="K14">
        <v>1135</v>
      </c>
      <c r="L14">
        <v>1109</v>
      </c>
      <c r="M14">
        <v>923</v>
      </c>
      <c r="N14">
        <v>635</v>
      </c>
      <c r="O14">
        <v>1072</v>
      </c>
      <c r="P14">
        <v>1065</v>
      </c>
      <c r="Q14">
        <v>766</v>
      </c>
      <c r="R14">
        <v>584</v>
      </c>
      <c r="S14">
        <v>644</v>
      </c>
      <c r="T14">
        <v>678</v>
      </c>
      <c r="U14">
        <v>700</v>
      </c>
      <c r="V14">
        <v>661</v>
      </c>
      <c r="W14">
        <v>595</v>
      </c>
      <c r="X14">
        <v>663</v>
      </c>
      <c r="Y14">
        <v>710</v>
      </c>
      <c r="Z14">
        <v>581</v>
      </c>
    </row>
    <row r="15" spans="1:26">
      <c r="A15" t="s">
        <v>227</v>
      </c>
      <c r="B15">
        <v>118600</v>
      </c>
      <c r="C15">
        <v>125390</v>
      </c>
      <c r="D15">
        <v>131010</v>
      </c>
      <c r="E15">
        <v>155540</v>
      </c>
      <c r="F15">
        <v>170750</v>
      </c>
      <c r="G15">
        <v>213660</v>
      </c>
      <c r="H15">
        <v>251850</v>
      </c>
      <c r="I15">
        <v>343750</v>
      </c>
      <c r="J15">
        <v>412450</v>
      </c>
      <c r="K15">
        <v>469440</v>
      </c>
      <c r="L15">
        <v>470670</v>
      </c>
      <c r="M15">
        <v>552830</v>
      </c>
      <c r="N15">
        <v>597330</v>
      </c>
      <c r="O15">
        <v>640510</v>
      </c>
      <c r="P15">
        <v>657900</v>
      </c>
      <c r="Q15">
        <v>708970</v>
      </c>
      <c r="R15">
        <v>713740</v>
      </c>
      <c r="S15">
        <v>691410</v>
      </c>
      <c r="T15">
        <v>700740</v>
      </c>
      <c r="U15">
        <v>710800</v>
      </c>
      <c r="V15">
        <v>779880</v>
      </c>
      <c r="W15">
        <v>808494</v>
      </c>
      <c r="X15">
        <v>907597</v>
      </c>
      <c r="Y15">
        <v>868568</v>
      </c>
      <c r="Z15">
        <v>865683</v>
      </c>
    </row>
    <row r="16" spans="1:26">
      <c r="A16" t="s">
        <v>20</v>
      </c>
      <c r="B16">
        <v>255.89599999999999</v>
      </c>
      <c r="C16">
        <v>264.36200000000002</v>
      </c>
      <c r="D16">
        <v>272</v>
      </c>
      <c r="E16">
        <v>319</v>
      </c>
      <c r="F16">
        <v>309.3</v>
      </c>
      <c r="G16">
        <v>288.214</v>
      </c>
      <c r="H16">
        <v>316.02499999999998</v>
      </c>
      <c r="I16">
        <v>325</v>
      </c>
      <c r="J16">
        <v>360</v>
      </c>
      <c r="K16">
        <v>350</v>
      </c>
      <c r="L16">
        <v>300</v>
      </c>
      <c r="M16">
        <v>342</v>
      </c>
      <c r="N16">
        <v>327</v>
      </c>
      <c r="O16">
        <v>295</v>
      </c>
      <c r="P16">
        <v>345</v>
      </c>
      <c r="Q16">
        <v>307</v>
      </c>
      <c r="R16">
        <v>234</v>
      </c>
      <c r="S16">
        <v>240</v>
      </c>
      <c r="T16">
        <v>225</v>
      </c>
      <c r="U16">
        <v>225</v>
      </c>
      <c r="V16">
        <v>205</v>
      </c>
      <c r="W16">
        <v>207</v>
      </c>
      <c r="X16">
        <v>164</v>
      </c>
      <c r="Y16">
        <v>220</v>
      </c>
      <c r="Z16">
        <v>213</v>
      </c>
    </row>
    <row r="17" spans="1:26">
      <c r="A17" t="s">
        <v>584</v>
      </c>
      <c r="B17">
        <v>4982</v>
      </c>
      <c r="C17">
        <v>4022</v>
      </c>
      <c r="D17">
        <v>4621</v>
      </c>
      <c r="E17">
        <v>4671</v>
      </c>
      <c r="F17">
        <v>4700</v>
      </c>
      <c r="G17">
        <v>5207</v>
      </c>
      <c r="H17">
        <v>5384</v>
      </c>
      <c r="I17">
        <v>4627</v>
      </c>
      <c r="J17">
        <v>5191</v>
      </c>
      <c r="K17">
        <v>5300</v>
      </c>
      <c r="L17">
        <v>4737</v>
      </c>
      <c r="M17">
        <v>3483</v>
      </c>
      <c r="N17">
        <v>3987</v>
      </c>
      <c r="O17">
        <v>4137.0739999999996</v>
      </c>
      <c r="P17">
        <v>3935.7890000000002</v>
      </c>
      <c r="Q17">
        <v>4040</v>
      </c>
      <c r="R17">
        <v>4152</v>
      </c>
      <c r="S17">
        <v>4031</v>
      </c>
      <c r="T17">
        <v>4164</v>
      </c>
      <c r="U17">
        <v>3700</v>
      </c>
      <c r="V17">
        <v>4005</v>
      </c>
      <c r="W17">
        <v>3635</v>
      </c>
      <c r="X17">
        <v>3540</v>
      </c>
      <c r="Y17">
        <v>3874</v>
      </c>
      <c r="Z17">
        <v>3385</v>
      </c>
    </row>
    <row r="18" spans="1:26">
      <c r="A18" t="s">
        <v>21</v>
      </c>
      <c r="B18">
        <v>2944</v>
      </c>
      <c r="C18">
        <v>2970</v>
      </c>
      <c r="D18">
        <v>3510</v>
      </c>
      <c r="E18">
        <v>3770</v>
      </c>
      <c r="F18">
        <v>3930</v>
      </c>
      <c r="G18">
        <v>3950</v>
      </c>
      <c r="H18">
        <v>3800</v>
      </c>
      <c r="I18">
        <v>3900</v>
      </c>
      <c r="J18">
        <v>3900</v>
      </c>
      <c r="K18">
        <v>3800</v>
      </c>
      <c r="L18">
        <v>3600</v>
      </c>
      <c r="M18">
        <v>7000</v>
      </c>
      <c r="N18">
        <v>6600</v>
      </c>
      <c r="O18">
        <v>6570</v>
      </c>
      <c r="P18">
        <v>6280</v>
      </c>
      <c r="Q18">
        <v>3980</v>
      </c>
      <c r="R18">
        <v>3430</v>
      </c>
      <c r="S18">
        <v>3230</v>
      </c>
      <c r="T18">
        <v>3320</v>
      </c>
      <c r="U18">
        <v>3320</v>
      </c>
      <c r="V18">
        <v>5903</v>
      </c>
      <c r="W18">
        <v>4596</v>
      </c>
      <c r="X18">
        <v>4948</v>
      </c>
      <c r="Y18">
        <v>5355</v>
      </c>
      <c r="Z18">
        <v>6024</v>
      </c>
    </row>
    <row r="19" spans="1:26">
      <c r="A19" t="s">
        <v>267</v>
      </c>
      <c r="B19">
        <v>2912</v>
      </c>
      <c r="C19">
        <v>2954</v>
      </c>
      <c r="D19">
        <v>2983</v>
      </c>
      <c r="E19">
        <v>2900</v>
      </c>
      <c r="F19">
        <v>3000</v>
      </c>
      <c r="G19">
        <v>3092</v>
      </c>
      <c r="H19">
        <v>3037</v>
      </c>
      <c r="I19">
        <v>3056</v>
      </c>
      <c r="J19">
        <v>3158</v>
      </c>
      <c r="K19">
        <v>2914</v>
      </c>
      <c r="L19">
        <v>2943</v>
      </c>
      <c r="M19">
        <v>2042</v>
      </c>
      <c r="N19">
        <v>2600</v>
      </c>
      <c r="O19">
        <v>2600</v>
      </c>
      <c r="P19">
        <v>2500</v>
      </c>
      <c r="Q19">
        <v>2050</v>
      </c>
      <c r="R19">
        <v>2475</v>
      </c>
      <c r="S19">
        <v>2594</v>
      </c>
      <c r="T19">
        <v>2670</v>
      </c>
      <c r="U19">
        <v>2600</v>
      </c>
      <c r="V19">
        <v>2976</v>
      </c>
      <c r="W19">
        <v>2260</v>
      </c>
      <c r="X19">
        <v>2275</v>
      </c>
      <c r="Y19">
        <v>2473</v>
      </c>
      <c r="Z19">
        <v>1875</v>
      </c>
    </row>
    <row r="20" spans="1:26">
      <c r="A20" t="s">
        <v>268</v>
      </c>
      <c r="B20">
        <v>13603</v>
      </c>
      <c r="C20">
        <v>13854</v>
      </c>
      <c r="D20">
        <v>13621</v>
      </c>
      <c r="E20">
        <v>12004</v>
      </c>
      <c r="F20">
        <v>13217</v>
      </c>
      <c r="G20">
        <v>12756</v>
      </c>
      <c r="H20">
        <v>13198</v>
      </c>
      <c r="I20">
        <v>12705</v>
      </c>
      <c r="J20">
        <v>13013</v>
      </c>
      <c r="K20">
        <v>12426</v>
      </c>
      <c r="L20">
        <v>11372</v>
      </c>
      <c r="M20">
        <v>8105</v>
      </c>
      <c r="N20">
        <v>10137</v>
      </c>
      <c r="O20">
        <v>9700</v>
      </c>
      <c r="P20">
        <v>9531</v>
      </c>
      <c r="Q20">
        <v>10276</v>
      </c>
      <c r="R20">
        <v>10866</v>
      </c>
      <c r="S20">
        <v>10095</v>
      </c>
      <c r="T20">
        <v>9724</v>
      </c>
      <c r="U20">
        <v>10700</v>
      </c>
      <c r="V20">
        <v>10530</v>
      </c>
      <c r="W20">
        <v>9877</v>
      </c>
      <c r="X20">
        <v>7696</v>
      </c>
      <c r="Y20">
        <v>9470</v>
      </c>
      <c r="Z20">
        <v>8183</v>
      </c>
    </row>
    <row r="21" spans="1:26">
      <c r="A21" t="s">
        <v>22</v>
      </c>
      <c r="B21">
        <v>30612</v>
      </c>
      <c r="C21">
        <v>28331</v>
      </c>
      <c r="D21">
        <v>31246</v>
      </c>
      <c r="E21">
        <v>29584</v>
      </c>
      <c r="F21">
        <v>29819</v>
      </c>
      <c r="G21">
        <v>30071</v>
      </c>
      <c r="H21">
        <v>30611</v>
      </c>
      <c r="I21">
        <v>29294</v>
      </c>
      <c r="J21">
        <v>30940</v>
      </c>
      <c r="K21">
        <v>31740</v>
      </c>
      <c r="L21">
        <v>29631</v>
      </c>
      <c r="M21">
        <v>20484</v>
      </c>
      <c r="N21">
        <v>29010</v>
      </c>
      <c r="O21">
        <v>28323</v>
      </c>
      <c r="P21">
        <v>27608</v>
      </c>
      <c r="Q21">
        <v>27178</v>
      </c>
      <c r="R21">
        <v>27949</v>
      </c>
      <c r="S21">
        <v>28392</v>
      </c>
      <c r="T21">
        <v>27864</v>
      </c>
      <c r="U21">
        <v>29000</v>
      </c>
      <c r="V21">
        <v>27831</v>
      </c>
      <c r="W21">
        <v>25554</v>
      </c>
      <c r="X21">
        <v>23007</v>
      </c>
      <c r="Y21">
        <v>26196</v>
      </c>
      <c r="Z21">
        <v>24006</v>
      </c>
    </row>
    <row r="22" spans="1:26">
      <c r="A22" t="s">
        <v>328</v>
      </c>
      <c r="B22">
        <v>1258</v>
      </c>
      <c r="C22">
        <v>1309</v>
      </c>
      <c r="D22">
        <v>1340</v>
      </c>
      <c r="E22">
        <v>1226</v>
      </c>
      <c r="F22">
        <v>1306</v>
      </c>
      <c r="G22">
        <v>1333</v>
      </c>
      <c r="H22">
        <v>1351</v>
      </c>
      <c r="I22">
        <v>1329</v>
      </c>
      <c r="J22">
        <v>1335</v>
      </c>
      <c r="K22">
        <v>1394</v>
      </c>
      <c r="L22">
        <v>1289</v>
      </c>
      <c r="M22">
        <v>1050</v>
      </c>
      <c r="N22">
        <v>1325</v>
      </c>
      <c r="O22">
        <v>1317</v>
      </c>
      <c r="P22">
        <v>1229</v>
      </c>
      <c r="Q22">
        <v>628</v>
      </c>
      <c r="R22">
        <v>801</v>
      </c>
      <c r="S22">
        <v>1247</v>
      </c>
      <c r="T22">
        <v>863</v>
      </c>
      <c r="U22">
        <v>1311</v>
      </c>
      <c r="V22">
        <v>1355</v>
      </c>
      <c r="W22">
        <v>1151</v>
      </c>
      <c r="X22">
        <v>968</v>
      </c>
      <c r="Y22">
        <v>605</v>
      </c>
      <c r="Z22">
        <v>492</v>
      </c>
    </row>
    <row r="23" spans="1:26">
      <c r="A23" t="s">
        <v>24</v>
      </c>
      <c r="B23">
        <v>25454</v>
      </c>
      <c r="C23">
        <v>25359</v>
      </c>
      <c r="D23">
        <v>26761</v>
      </c>
      <c r="E23">
        <v>27490</v>
      </c>
      <c r="F23">
        <v>27600</v>
      </c>
      <c r="G23">
        <v>34220</v>
      </c>
      <c r="H23">
        <v>34487</v>
      </c>
      <c r="I23">
        <v>39165</v>
      </c>
      <c r="J23">
        <v>43040</v>
      </c>
      <c r="K23">
        <v>46900</v>
      </c>
      <c r="L23">
        <v>50200</v>
      </c>
      <c r="M23">
        <v>56030</v>
      </c>
      <c r="N23">
        <v>62105</v>
      </c>
      <c r="O23">
        <v>71160</v>
      </c>
      <c r="P23">
        <v>67700</v>
      </c>
      <c r="Q23">
        <v>68252</v>
      </c>
      <c r="R23">
        <v>75532</v>
      </c>
      <c r="S23">
        <v>74621</v>
      </c>
      <c r="T23">
        <v>81464</v>
      </c>
      <c r="U23">
        <v>84500</v>
      </c>
      <c r="V23">
        <v>106823</v>
      </c>
      <c r="W23">
        <v>110974</v>
      </c>
      <c r="X23">
        <v>101375</v>
      </c>
      <c r="Y23">
        <v>116917</v>
      </c>
      <c r="Z23">
        <v>122171</v>
      </c>
    </row>
    <row r="24" spans="1:26">
      <c r="A24" t="s">
        <v>25</v>
      </c>
      <c r="B24">
        <v>1640</v>
      </c>
      <c r="C24">
        <v>1740</v>
      </c>
      <c r="D24">
        <v>1820</v>
      </c>
      <c r="E24">
        <v>1480</v>
      </c>
      <c r="F24">
        <v>1500</v>
      </c>
      <c r="G24">
        <v>1230</v>
      </c>
      <c r="H24">
        <v>1470</v>
      </c>
      <c r="I24">
        <v>1390</v>
      </c>
      <c r="J24">
        <v>1290</v>
      </c>
      <c r="K24">
        <v>1400</v>
      </c>
      <c r="L24">
        <v>1290</v>
      </c>
      <c r="M24">
        <v>1230</v>
      </c>
      <c r="N24">
        <v>1360</v>
      </c>
      <c r="O24">
        <v>1200</v>
      </c>
      <c r="P24">
        <v>1300</v>
      </c>
      <c r="Q24">
        <v>760</v>
      </c>
      <c r="R24">
        <v>120</v>
      </c>
      <c r="V24">
        <v>2967</v>
      </c>
      <c r="W24">
        <v>3020</v>
      </c>
      <c r="X24">
        <v>3031</v>
      </c>
      <c r="Y24">
        <v>3424</v>
      </c>
      <c r="Z24">
        <v>3524</v>
      </c>
    </row>
    <row r="25" spans="1:26">
      <c r="A25" t="s">
        <v>230</v>
      </c>
      <c r="B25">
        <v>5777</v>
      </c>
      <c r="C25">
        <v>6267</v>
      </c>
      <c r="D25">
        <v>6942</v>
      </c>
      <c r="E25">
        <v>7300</v>
      </c>
      <c r="F25">
        <v>7680</v>
      </c>
      <c r="G25">
        <v>8329</v>
      </c>
      <c r="H25">
        <v>8546</v>
      </c>
      <c r="I25">
        <v>9150</v>
      </c>
      <c r="J25">
        <v>8891</v>
      </c>
      <c r="K25">
        <v>9618</v>
      </c>
      <c r="L25">
        <v>9700</v>
      </c>
      <c r="M25">
        <v>10600</v>
      </c>
      <c r="N25">
        <v>11900</v>
      </c>
      <c r="O25">
        <v>16500</v>
      </c>
      <c r="P25">
        <v>13700</v>
      </c>
      <c r="Q25">
        <v>16465</v>
      </c>
      <c r="R25">
        <v>17333</v>
      </c>
      <c r="S25">
        <v>17005</v>
      </c>
      <c r="T25">
        <v>18261</v>
      </c>
      <c r="U25">
        <v>18300</v>
      </c>
      <c r="V25">
        <v>28112</v>
      </c>
      <c r="W25">
        <v>31050</v>
      </c>
      <c r="X25">
        <v>32677</v>
      </c>
      <c r="Y25">
        <v>34540</v>
      </c>
      <c r="Z25">
        <v>35407</v>
      </c>
    </row>
    <row r="26" spans="1:26">
      <c r="A26" t="s">
        <v>272</v>
      </c>
      <c r="B26">
        <v>10704</v>
      </c>
      <c r="C26">
        <v>10509</v>
      </c>
      <c r="D26">
        <v>11223</v>
      </c>
      <c r="E26">
        <v>10650</v>
      </c>
      <c r="F26">
        <v>9736</v>
      </c>
      <c r="G26">
        <v>10604</v>
      </c>
      <c r="H26">
        <v>10664</v>
      </c>
      <c r="I26">
        <v>11423</v>
      </c>
      <c r="J26">
        <v>11535</v>
      </c>
      <c r="K26">
        <v>11100</v>
      </c>
      <c r="L26">
        <v>10373</v>
      </c>
      <c r="M26">
        <v>5719</v>
      </c>
      <c r="N26">
        <v>8549</v>
      </c>
      <c r="O26">
        <v>9800</v>
      </c>
      <c r="P26">
        <v>9418</v>
      </c>
      <c r="Q26">
        <v>6933</v>
      </c>
      <c r="R26">
        <v>6371</v>
      </c>
      <c r="S26">
        <v>5051</v>
      </c>
      <c r="T26">
        <v>6048</v>
      </c>
      <c r="U26">
        <v>5100</v>
      </c>
      <c r="V26">
        <v>4836</v>
      </c>
      <c r="W26">
        <v>4607</v>
      </c>
      <c r="X26">
        <v>3405</v>
      </c>
      <c r="Y26">
        <v>3925</v>
      </c>
      <c r="Z26">
        <v>3464</v>
      </c>
    </row>
    <row r="27" spans="1:26">
      <c r="A27" t="s">
        <v>26</v>
      </c>
      <c r="B27">
        <v>74981.02</v>
      </c>
      <c r="C27">
        <v>74519.915999999997</v>
      </c>
      <c r="D27">
        <v>81070.748000000007</v>
      </c>
      <c r="E27">
        <v>78835.835999999996</v>
      </c>
      <c r="F27">
        <v>80979.377999999997</v>
      </c>
      <c r="G27">
        <v>82091.744000000006</v>
      </c>
      <c r="H27">
        <v>82974.493000000002</v>
      </c>
      <c r="I27">
        <v>83058.13</v>
      </c>
      <c r="J27">
        <v>84270.399999999994</v>
      </c>
      <c r="K27">
        <v>86771</v>
      </c>
      <c r="L27">
        <v>86171</v>
      </c>
      <c r="M27">
        <v>66943</v>
      </c>
      <c r="N27">
        <v>82283</v>
      </c>
      <c r="O27">
        <v>81028</v>
      </c>
      <c r="P27">
        <v>81405</v>
      </c>
      <c r="Q27">
        <v>83849</v>
      </c>
      <c r="R27">
        <v>83872</v>
      </c>
      <c r="S27">
        <v>81011</v>
      </c>
      <c r="T27">
        <v>80170</v>
      </c>
      <c r="U27">
        <v>78300</v>
      </c>
      <c r="V27">
        <v>77328</v>
      </c>
      <c r="W27">
        <v>74907</v>
      </c>
      <c r="X27">
        <v>61600</v>
      </c>
      <c r="Y27">
        <v>70344</v>
      </c>
      <c r="Z27">
        <v>64147</v>
      </c>
    </row>
    <row r="28" spans="1:26">
      <c r="A28" t="s">
        <v>28</v>
      </c>
      <c r="B28">
        <v>2594</v>
      </c>
      <c r="C28">
        <v>3438</v>
      </c>
      <c r="D28">
        <v>4000</v>
      </c>
      <c r="E28">
        <v>3906.5</v>
      </c>
      <c r="F28">
        <v>4089.1</v>
      </c>
      <c r="G28">
        <v>4140</v>
      </c>
      <c r="H28">
        <v>4283.1419999999998</v>
      </c>
      <c r="I28">
        <v>3581.09</v>
      </c>
      <c r="J28">
        <v>3400</v>
      </c>
      <c r="K28">
        <v>3240</v>
      </c>
      <c r="L28">
        <v>3106</v>
      </c>
      <c r="M28">
        <v>2996</v>
      </c>
      <c r="N28">
        <v>2984</v>
      </c>
      <c r="O28">
        <v>3141.2</v>
      </c>
      <c r="P28">
        <v>2707</v>
      </c>
      <c r="Q28">
        <v>2634</v>
      </c>
      <c r="R28">
        <v>3185</v>
      </c>
      <c r="S28">
        <v>3234</v>
      </c>
      <c r="T28">
        <v>3302</v>
      </c>
      <c r="U28">
        <v>4200</v>
      </c>
      <c r="V28">
        <v>3174</v>
      </c>
      <c r="W28">
        <v>3209</v>
      </c>
      <c r="X28">
        <v>3212</v>
      </c>
      <c r="Y28">
        <v>3624</v>
      </c>
      <c r="Z28">
        <v>2920</v>
      </c>
    </row>
    <row r="29" spans="1:26">
      <c r="A29" t="s">
        <v>231</v>
      </c>
      <c r="B29">
        <v>800</v>
      </c>
      <c r="C29">
        <v>800</v>
      </c>
      <c r="D29">
        <v>800</v>
      </c>
      <c r="E29">
        <v>800</v>
      </c>
      <c r="F29">
        <v>800</v>
      </c>
      <c r="G29">
        <v>900</v>
      </c>
      <c r="H29">
        <v>900</v>
      </c>
      <c r="I29">
        <v>900</v>
      </c>
      <c r="J29">
        <v>900</v>
      </c>
      <c r="K29">
        <v>900</v>
      </c>
      <c r="L29">
        <v>900</v>
      </c>
      <c r="M29">
        <v>900</v>
      </c>
      <c r="N29">
        <v>900</v>
      </c>
      <c r="O29">
        <v>900</v>
      </c>
      <c r="P29">
        <v>900</v>
      </c>
    </row>
    <row r="30" spans="1:26">
      <c r="A30" t="s">
        <v>31</v>
      </c>
      <c r="B30">
        <v>23229</v>
      </c>
      <c r="C30">
        <v>23329</v>
      </c>
      <c r="D30">
        <v>24937</v>
      </c>
      <c r="E30">
        <v>25898</v>
      </c>
      <c r="F30">
        <v>26500</v>
      </c>
      <c r="G30">
        <v>27314</v>
      </c>
      <c r="H30">
        <v>27556</v>
      </c>
      <c r="I30">
        <v>27309</v>
      </c>
      <c r="J30">
        <v>27559.406999999999</v>
      </c>
      <c r="K30">
        <v>29436.782999999999</v>
      </c>
      <c r="L30">
        <v>31042.781999999999</v>
      </c>
      <c r="M30">
        <v>27475</v>
      </c>
      <c r="N30">
        <v>31228.208999999999</v>
      </c>
      <c r="O30">
        <v>42212.716999999997</v>
      </c>
      <c r="P30">
        <v>40000</v>
      </c>
    </row>
    <row r="31" spans="1:26">
      <c r="A31" t="s">
        <v>334</v>
      </c>
      <c r="B31">
        <v>1010</v>
      </c>
      <c r="C31">
        <v>1330</v>
      </c>
      <c r="D31">
        <v>1500</v>
      </c>
      <c r="E31">
        <v>1090</v>
      </c>
      <c r="F31">
        <v>1170</v>
      </c>
      <c r="G31">
        <v>1340</v>
      </c>
      <c r="H31">
        <v>1580</v>
      </c>
      <c r="I31">
        <v>1650</v>
      </c>
      <c r="J31">
        <v>1630</v>
      </c>
      <c r="K31">
        <v>1650</v>
      </c>
      <c r="L31">
        <v>1569</v>
      </c>
      <c r="M31">
        <v>1097</v>
      </c>
      <c r="N31">
        <v>1270</v>
      </c>
      <c r="O31">
        <v>300</v>
      </c>
      <c r="P31">
        <v>510</v>
      </c>
      <c r="Q31">
        <v>950</v>
      </c>
      <c r="R31">
        <v>1000</v>
      </c>
      <c r="S31">
        <v>450</v>
      </c>
      <c r="T31">
        <v>690</v>
      </c>
      <c r="U31">
        <v>560</v>
      </c>
      <c r="V31">
        <v>612</v>
      </c>
      <c r="W31">
        <v>880</v>
      </c>
      <c r="X31">
        <v>796</v>
      </c>
      <c r="Y31">
        <v>861</v>
      </c>
      <c r="Z31">
        <v>1051</v>
      </c>
    </row>
    <row r="32" spans="1:26">
      <c r="A32" t="s">
        <v>32</v>
      </c>
      <c r="B32">
        <v>1000</v>
      </c>
      <c r="C32">
        <v>1000</v>
      </c>
      <c r="D32">
        <v>1260</v>
      </c>
      <c r="E32">
        <v>1300</v>
      </c>
      <c r="F32">
        <v>1400</v>
      </c>
      <c r="G32">
        <v>1600</v>
      </c>
      <c r="H32">
        <v>1710</v>
      </c>
      <c r="I32">
        <v>1349</v>
      </c>
      <c r="J32">
        <v>1540</v>
      </c>
      <c r="K32">
        <v>1840</v>
      </c>
      <c r="L32">
        <v>1957</v>
      </c>
      <c r="M32">
        <v>2388</v>
      </c>
      <c r="N32">
        <v>2390</v>
      </c>
      <c r="O32">
        <v>2876</v>
      </c>
      <c r="P32">
        <v>2900</v>
      </c>
      <c r="Q32">
        <v>1400</v>
      </c>
      <c r="R32">
        <v>1330</v>
      </c>
      <c r="S32">
        <v>960</v>
      </c>
      <c r="T32">
        <v>660</v>
      </c>
      <c r="U32">
        <v>660</v>
      </c>
      <c r="V32">
        <v>743</v>
      </c>
      <c r="W32">
        <v>595</v>
      </c>
      <c r="X32">
        <v>747</v>
      </c>
      <c r="Y32">
        <v>360</v>
      </c>
      <c r="Z32">
        <v>780</v>
      </c>
    </row>
    <row r="33" spans="1:26">
      <c r="A33" t="s">
        <v>234</v>
      </c>
      <c r="B33">
        <v>10115.563</v>
      </c>
      <c r="C33">
        <v>10878.132</v>
      </c>
      <c r="D33">
        <v>10445</v>
      </c>
      <c r="E33">
        <v>9000</v>
      </c>
      <c r="F33">
        <v>8000</v>
      </c>
      <c r="G33">
        <v>9656</v>
      </c>
      <c r="H33">
        <v>10623</v>
      </c>
      <c r="I33">
        <v>10020</v>
      </c>
      <c r="J33">
        <v>9967</v>
      </c>
      <c r="K33">
        <v>10277</v>
      </c>
      <c r="L33">
        <v>10610</v>
      </c>
      <c r="M33">
        <v>8132</v>
      </c>
      <c r="N33">
        <v>10175</v>
      </c>
      <c r="O33">
        <v>10500</v>
      </c>
      <c r="P33">
        <v>10292</v>
      </c>
      <c r="Q33">
        <v>11010</v>
      </c>
      <c r="R33">
        <v>11092</v>
      </c>
      <c r="S33">
        <v>10080</v>
      </c>
      <c r="T33">
        <v>9784</v>
      </c>
      <c r="U33">
        <v>10200</v>
      </c>
      <c r="V33">
        <v>10400</v>
      </c>
      <c r="W33">
        <v>9820</v>
      </c>
      <c r="X33">
        <v>7606</v>
      </c>
      <c r="Y33">
        <v>8539</v>
      </c>
      <c r="Z33">
        <v>8030</v>
      </c>
    </row>
    <row r="34" spans="1:26">
      <c r="A34" t="s">
        <v>34</v>
      </c>
      <c r="B34">
        <v>15</v>
      </c>
      <c r="C34">
        <v>15</v>
      </c>
      <c r="D34">
        <v>15</v>
      </c>
      <c r="E34">
        <v>15</v>
      </c>
      <c r="F34">
        <v>15</v>
      </c>
      <c r="G34">
        <v>15</v>
      </c>
      <c r="H34">
        <v>15</v>
      </c>
      <c r="I34">
        <v>15</v>
      </c>
      <c r="J34">
        <v>15</v>
      </c>
      <c r="K34">
        <v>15</v>
      </c>
      <c r="L34">
        <v>15</v>
      </c>
      <c r="M34">
        <v>15</v>
      </c>
      <c r="N34">
        <v>15</v>
      </c>
      <c r="O34">
        <v>12</v>
      </c>
      <c r="P34">
        <v>12</v>
      </c>
    </row>
    <row r="35" spans="1:26">
      <c r="A35" t="s">
        <v>339</v>
      </c>
      <c r="B35">
        <v>5561</v>
      </c>
      <c r="C35">
        <v>5320</v>
      </c>
      <c r="D35">
        <v>4969</v>
      </c>
      <c r="E35">
        <v>5305</v>
      </c>
      <c r="F35">
        <v>5381</v>
      </c>
      <c r="G35">
        <v>5845</v>
      </c>
      <c r="H35">
        <v>5846</v>
      </c>
      <c r="I35">
        <v>6031</v>
      </c>
      <c r="J35">
        <v>5417</v>
      </c>
      <c r="K35">
        <v>5500</v>
      </c>
      <c r="L35">
        <v>6130</v>
      </c>
      <c r="M35">
        <v>4655</v>
      </c>
      <c r="N35">
        <v>5799</v>
      </c>
      <c r="O35">
        <v>5900</v>
      </c>
      <c r="P35">
        <v>5909</v>
      </c>
      <c r="Q35">
        <v>5681</v>
      </c>
      <c r="R35">
        <v>5868</v>
      </c>
      <c r="S35">
        <v>6050</v>
      </c>
      <c r="T35">
        <v>6091</v>
      </c>
      <c r="U35">
        <v>6100</v>
      </c>
      <c r="V35">
        <v>6150</v>
      </c>
      <c r="W35">
        <v>5936</v>
      </c>
      <c r="X35">
        <v>5435</v>
      </c>
      <c r="Y35">
        <v>5895</v>
      </c>
      <c r="Z35">
        <v>5514</v>
      </c>
    </row>
    <row r="36" spans="1:26">
      <c r="A36" t="s">
        <v>277</v>
      </c>
      <c r="B36">
        <v>609</v>
      </c>
      <c r="C36">
        <v>620</v>
      </c>
      <c r="D36">
        <v>600</v>
      </c>
      <c r="E36">
        <v>600</v>
      </c>
      <c r="F36">
        <v>600</v>
      </c>
      <c r="G36">
        <v>600</v>
      </c>
      <c r="H36">
        <v>650</v>
      </c>
      <c r="I36">
        <v>652</v>
      </c>
      <c r="J36">
        <v>664</v>
      </c>
      <c r="K36">
        <v>679</v>
      </c>
      <c r="L36">
        <v>622</v>
      </c>
      <c r="M36">
        <v>608</v>
      </c>
      <c r="N36">
        <v>667</v>
      </c>
      <c r="O36">
        <v>659</v>
      </c>
      <c r="P36">
        <v>669</v>
      </c>
      <c r="Q36">
        <v>682</v>
      </c>
      <c r="R36">
        <v>680</v>
      </c>
      <c r="S36">
        <v>678</v>
      </c>
      <c r="T36">
        <v>670</v>
      </c>
      <c r="U36">
        <v>700</v>
      </c>
      <c r="V36">
        <v>679</v>
      </c>
      <c r="W36">
        <v>672</v>
      </c>
      <c r="X36">
        <v>613</v>
      </c>
      <c r="Y36">
        <v>693</v>
      </c>
      <c r="Z36">
        <v>624</v>
      </c>
    </row>
    <row r="37" spans="1:26">
      <c r="A37" t="s">
        <v>235</v>
      </c>
      <c r="J37">
        <v>150</v>
      </c>
      <c r="K37">
        <v>150</v>
      </c>
    </row>
    <row r="38" spans="1:26">
      <c r="A38" t="s">
        <v>35</v>
      </c>
      <c r="B38">
        <v>70</v>
      </c>
      <c r="C38">
        <v>60</v>
      </c>
      <c r="D38">
        <v>60</v>
      </c>
      <c r="E38">
        <v>60</v>
      </c>
      <c r="F38">
        <v>60</v>
      </c>
      <c r="G38">
        <v>110</v>
      </c>
      <c r="H38">
        <v>100</v>
      </c>
      <c r="I38">
        <v>100</v>
      </c>
      <c r="J38">
        <v>100</v>
      </c>
      <c r="K38">
        <v>100</v>
      </c>
      <c r="L38">
        <v>100</v>
      </c>
      <c r="M38">
        <v>100</v>
      </c>
      <c r="N38">
        <v>100</v>
      </c>
      <c r="O38">
        <v>100</v>
      </c>
      <c r="P38">
        <v>100</v>
      </c>
      <c r="Q38">
        <v>106</v>
      </c>
      <c r="R38">
        <v>102</v>
      </c>
      <c r="S38">
        <v>100</v>
      </c>
      <c r="T38">
        <v>100</v>
      </c>
      <c r="U38">
        <v>100</v>
      </c>
      <c r="V38">
        <v>79</v>
      </c>
      <c r="W38">
        <v>74</v>
      </c>
      <c r="X38">
        <v>81</v>
      </c>
      <c r="Y38">
        <v>85</v>
      </c>
      <c r="Z38">
        <v>80</v>
      </c>
    </row>
    <row r="39" spans="1:26">
      <c r="A39" t="s">
        <v>666</v>
      </c>
      <c r="O39">
        <v>1110</v>
      </c>
      <c r="P39">
        <v>1460</v>
      </c>
      <c r="Q39">
        <v>1470</v>
      </c>
      <c r="R39">
        <v>1450</v>
      </c>
      <c r="S39">
        <v>1480</v>
      </c>
      <c r="T39">
        <v>1460</v>
      </c>
      <c r="U39">
        <v>1460</v>
      </c>
      <c r="V39">
        <v>1500</v>
      </c>
      <c r="W39">
        <v>1750</v>
      </c>
      <c r="X39">
        <v>1730</v>
      </c>
      <c r="Y39">
        <v>1700</v>
      </c>
      <c r="Z39">
        <v>1820</v>
      </c>
    </row>
    <row r="40" spans="1:26">
      <c r="A40" t="s">
        <v>236</v>
      </c>
      <c r="B40">
        <v>1500</v>
      </c>
      <c r="C40">
        <v>1500</v>
      </c>
      <c r="D40">
        <v>1500</v>
      </c>
      <c r="E40">
        <v>1500</v>
      </c>
      <c r="F40">
        <v>1500</v>
      </c>
      <c r="G40">
        <v>1500</v>
      </c>
      <c r="H40">
        <v>1500</v>
      </c>
      <c r="I40">
        <v>1500</v>
      </c>
      <c r="J40">
        <v>1200</v>
      </c>
      <c r="K40">
        <v>1000</v>
      </c>
      <c r="L40">
        <v>1000</v>
      </c>
      <c r="M40">
        <v>700</v>
      </c>
      <c r="N40">
        <v>483</v>
      </c>
      <c r="O40">
        <v>500</v>
      </c>
      <c r="P40">
        <v>450</v>
      </c>
      <c r="Q40">
        <v>165</v>
      </c>
      <c r="R40">
        <v>142</v>
      </c>
      <c r="S40">
        <v>163</v>
      </c>
    </row>
    <row r="41" spans="1:26">
      <c r="A41" t="s">
        <v>280</v>
      </c>
      <c r="B41">
        <v>65.545000000000002</v>
      </c>
      <c r="C41">
        <v>61.280999999999999</v>
      </c>
      <c r="D41">
        <v>82.018000000000001</v>
      </c>
      <c r="E41">
        <v>70.7</v>
      </c>
      <c r="F41">
        <v>80.099999999999994</v>
      </c>
      <c r="G41">
        <v>98</v>
      </c>
      <c r="H41">
        <v>119</v>
      </c>
      <c r="I41">
        <v>124</v>
      </c>
      <c r="J41">
        <v>136</v>
      </c>
      <c r="K41">
        <v>136.5</v>
      </c>
      <c r="L41">
        <v>145.41999999999999</v>
      </c>
      <c r="M41">
        <v>145.5</v>
      </c>
      <c r="N41">
        <v>150</v>
      </c>
      <c r="O41">
        <v>45</v>
      </c>
      <c r="P41">
        <v>68</v>
      </c>
      <c r="Q41">
        <v>69</v>
      </c>
      <c r="R41">
        <v>71</v>
      </c>
      <c r="S41">
        <v>73</v>
      </c>
      <c r="T41">
        <v>50</v>
      </c>
      <c r="U41">
        <v>38</v>
      </c>
      <c r="V41">
        <v>39</v>
      </c>
      <c r="W41">
        <v>40</v>
      </c>
      <c r="X41">
        <v>35</v>
      </c>
      <c r="Y41">
        <v>45</v>
      </c>
      <c r="Z41">
        <v>40</v>
      </c>
    </row>
    <row r="42" spans="1:26">
      <c r="A42" t="s">
        <v>36</v>
      </c>
      <c r="B42">
        <v>393</v>
      </c>
      <c r="C42">
        <v>300</v>
      </c>
      <c r="D42">
        <v>407</v>
      </c>
      <c r="E42">
        <v>410</v>
      </c>
      <c r="F42">
        <v>410</v>
      </c>
      <c r="G42">
        <v>306</v>
      </c>
      <c r="H42">
        <v>352</v>
      </c>
      <c r="I42">
        <v>343</v>
      </c>
      <c r="J42">
        <v>386</v>
      </c>
      <c r="K42">
        <v>431</v>
      </c>
      <c r="L42">
        <v>330</v>
      </c>
      <c r="M42">
        <v>330</v>
      </c>
      <c r="N42">
        <v>330</v>
      </c>
      <c r="O42">
        <v>330</v>
      </c>
      <c r="P42">
        <v>330</v>
      </c>
      <c r="Q42">
        <v>93</v>
      </c>
      <c r="R42">
        <v>88</v>
      </c>
      <c r="S42">
        <v>72</v>
      </c>
      <c r="T42">
        <v>11</v>
      </c>
    </row>
    <row r="43" spans="1:26">
      <c r="A43" t="s">
        <v>281</v>
      </c>
      <c r="B43">
        <v>6128.4840000000004</v>
      </c>
      <c r="C43">
        <v>6128.4840000000004</v>
      </c>
      <c r="D43">
        <v>6491.8670000000002</v>
      </c>
      <c r="E43">
        <v>5440</v>
      </c>
      <c r="F43">
        <v>5500</v>
      </c>
      <c r="G43">
        <v>5632</v>
      </c>
      <c r="H43">
        <v>6399</v>
      </c>
      <c r="I43">
        <v>4477</v>
      </c>
      <c r="J43">
        <v>5332.6319999999996</v>
      </c>
      <c r="K43">
        <v>5804.4179999999997</v>
      </c>
      <c r="L43">
        <v>4933.7809999999999</v>
      </c>
      <c r="M43">
        <v>2983.5</v>
      </c>
      <c r="N43">
        <v>3638</v>
      </c>
      <c r="O43">
        <v>3974.93</v>
      </c>
      <c r="P43">
        <v>3952</v>
      </c>
      <c r="Q43">
        <v>4011</v>
      </c>
      <c r="R43">
        <v>4637</v>
      </c>
      <c r="S43">
        <v>4821</v>
      </c>
      <c r="T43">
        <v>4673</v>
      </c>
      <c r="U43">
        <v>5200</v>
      </c>
      <c r="V43">
        <v>4788</v>
      </c>
      <c r="W43">
        <v>4242</v>
      </c>
      <c r="X43">
        <v>3502</v>
      </c>
      <c r="Y43">
        <v>3587</v>
      </c>
      <c r="Z43">
        <v>3061</v>
      </c>
    </row>
    <row r="44" spans="1:26">
      <c r="A44" t="s">
        <v>340</v>
      </c>
      <c r="B44">
        <v>365</v>
      </c>
      <c r="C44">
        <v>389</v>
      </c>
      <c r="D44">
        <v>382</v>
      </c>
      <c r="E44">
        <v>82</v>
      </c>
      <c r="G44">
        <v>100</v>
      </c>
      <c r="H44">
        <v>100</v>
      </c>
      <c r="I44">
        <v>100</v>
      </c>
      <c r="J44">
        <v>100</v>
      </c>
      <c r="K44">
        <v>100</v>
      </c>
      <c r="L44">
        <v>100</v>
      </c>
      <c r="M44">
        <v>100</v>
      </c>
      <c r="N44">
        <v>100</v>
      </c>
      <c r="O44">
        <v>100</v>
      </c>
      <c r="P44">
        <v>100</v>
      </c>
    </row>
    <row r="45" spans="1:26">
      <c r="A45" t="s">
        <v>341</v>
      </c>
      <c r="B45">
        <v>706</v>
      </c>
      <c r="C45">
        <v>670</v>
      </c>
      <c r="D45">
        <v>620</v>
      </c>
      <c r="E45">
        <v>730</v>
      </c>
      <c r="F45">
        <v>750</v>
      </c>
      <c r="G45">
        <v>780</v>
      </c>
      <c r="H45">
        <v>830</v>
      </c>
      <c r="I45">
        <v>820</v>
      </c>
      <c r="J45">
        <v>880</v>
      </c>
      <c r="K45">
        <v>1200</v>
      </c>
      <c r="L45">
        <v>1700</v>
      </c>
      <c r="M45">
        <v>2100</v>
      </c>
      <c r="N45">
        <v>2157</v>
      </c>
      <c r="O45">
        <v>2230</v>
      </c>
      <c r="P45">
        <v>2420</v>
      </c>
      <c r="Q45">
        <v>2385</v>
      </c>
      <c r="R45">
        <v>2547</v>
      </c>
      <c r="S45">
        <v>2631</v>
      </c>
      <c r="T45">
        <v>2506</v>
      </c>
      <c r="U45">
        <v>2548</v>
      </c>
      <c r="V45">
        <v>2465</v>
      </c>
      <c r="W45">
        <v>2393</v>
      </c>
      <c r="X45">
        <v>753</v>
      </c>
      <c r="Y45">
        <v>781</v>
      </c>
      <c r="Z45">
        <v>1611</v>
      </c>
    </row>
    <row r="46" spans="1:26">
      <c r="A46" t="s">
        <v>85</v>
      </c>
      <c r="B46">
        <v>4541.1509999999998</v>
      </c>
      <c r="C46">
        <v>2969.4670000000001</v>
      </c>
      <c r="D46">
        <v>3068.6779999999999</v>
      </c>
      <c r="E46">
        <v>3085</v>
      </c>
      <c r="F46">
        <v>3100</v>
      </c>
      <c r="G46">
        <v>4101</v>
      </c>
      <c r="H46">
        <v>4244</v>
      </c>
      <c r="I46">
        <v>4098</v>
      </c>
      <c r="J46">
        <v>3945.9749999999999</v>
      </c>
      <c r="K46">
        <v>3923.2339999999999</v>
      </c>
      <c r="L46">
        <v>2945</v>
      </c>
      <c r="M46">
        <v>1575</v>
      </c>
      <c r="N46">
        <v>1880</v>
      </c>
      <c r="O46">
        <v>1600</v>
      </c>
      <c r="P46">
        <v>1500</v>
      </c>
      <c r="Q46">
        <v>1604</v>
      </c>
      <c r="R46">
        <v>1631</v>
      </c>
      <c r="S46">
        <v>1790</v>
      </c>
      <c r="T46">
        <v>1980</v>
      </c>
      <c r="U46">
        <v>1900</v>
      </c>
      <c r="V46">
        <v>1900</v>
      </c>
      <c r="W46">
        <v>2000</v>
      </c>
      <c r="X46">
        <v>1848</v>
      </c>
      <c r="Y46">
        <v>2089</v>
      </c>
      <c r="Z46">
        <v>1481</v>
      </c>
    </row>
    <row r="47" spans="1:26">
      <c r="A47" t="s">
        <v>37</v>
      </c>
      <c r="B47">
        <v>36377</v>
      </c>
      <c r="C47">
        <v>42734.2</v>
      </c>
      <c r="D47">
        <v>46618.1</v>
      </c>
      <c r="E47">
        <v>46880</v>
      </c>
      <c r="F47">
        <v>48060</v>
      </c>
      <c r="G47">
        <v>51268</v>
      </c>
      <c r="H47">
        <v>53566.7</v>
      </c>
      <c r="I47">
        <v>52515</v>
      </c>
      <c r="J47">
        <v>55023</v>
      </c>
      <c r="K47">
        <v>55523</v>
      </c>
      <c r="L47">
        <v>52860</v>
      </c>
      <c r="M47">
        <v>48600</v>
      </c>
      <c r="N47">
        <v>52900</v>
      </c>
      <c r="O47">
        <v>52900</v>
      </c>
      <c r="P47">
        <v>54000</v>
      </c>
      <c r="Q47">
        <v>55275</v>
      </c>
      <c r="R47">
        <v>56810</v>
      </c>
      <c r="S47">
        <v>57851</v>
      </c>
      <c r="T47">
        <v>57529</v>
      </c>
      <c r="U47">
        <v>58800</v>
      </c>
      <c r="V47">
        <v>59697</v>
      </c>
      <c r="W47">
        <v>59214</v>
      </c>
      <c r="X47">
        <v>59933</v>
      </c>
      <c r="Y47">
        <v>61551</v>
      </c>
      <c r="Z47">
        <v>59317</v>
      </c>
    </row>
    <row r="48" spans="1:26">
      <c r="A48" t="s">
        <v>342</v>
      </c>
      <c r="B48">
        <v>2268</v>
      </c>
      <c r="C48">
        <v>2343</v>
      </c>
      <c r="D48">
        <v>3090</v>
      </c>
      <c r="E48">
        <v>2880</v>
      </c>
      <c r="F48">
        <v>3290</v>
      </c>
      <c r="G48">
        <v>3290</v>
      </c>
      <c r="H48">
        <v>3141</v>
      </c>
      <c r="I48">
        <v>3630</v>
      </c>
      <c r="J48">
        <v>3580</v>
      </c>
      <c r="K48">
        <v>4100</v>
      </c>
      <c r="L48">
        <v>4970</v>
      </c>
      <c r="M48">
        <v>5000</v>
      </c>
      <c r="N48">
        <v>5500</v>
      </c>
      <c r="O48">
        <v>5800</v>
      </c>
      <c r="P48">
        <v>5700</v>
      </c>
      <c r="Q48">
        <v>6070</v>
      </c>
      <c r="R48">
        <v>6460</v>
      </c>
      <c r="S48">
        <v>5800</v>
      </c>
      <c r="T48">
        <v>5890</v>
      </c>
      <c r="U48">
        <v>5890</v>
      </c>
      <c r="V48">
        <v>6000</v>
      </c>
      <c r="W48">
        <v>5800</v>
      </c>
      <c r="X48">
        <v>5200</v>
      </c>
      <c r="Y48">
        <v>6128</v>
      </c>
      <c r="Z48">
        <v>6714</v>
      </c>
    </row>
    <row r="49" spans="1:26">
      <c r="A49" t="s">
        <v>286</v>
      </c>
      <c r="B49">
        <v>825.91600000000005</v>
      </c>
      <c r="C49">
        <v>134.88</v>
      </c>
      <c r="D49">
        <v>563</v>
      </c>
      <c r="E49">
        <v>461</v>
      </c>
      <c r="F49">
        <v>485</v>
      </c>
    </row>
    <row r="50" spans="1:26">
      <c r="A50" t="s">
        <v>398</v>
      </c>
      <c r="G50">
        <v>635.48099999999999</v>
      </c>
      <c r="H50">
        <v>959.01900000000001</v>
      </c>
      <c r="I50">
        <v>1115.1949999999999</v>
      </c>
      <c r="J50">
        <v>1529.1769999999999</v>
      </c>
      <c r="K50">
        <v>1485</v>
      </c>
      <c r="L50">
        <v>1582</v>
      </c>
      <c r="M50">
        <v>1006</v>
      </c>
      <c r="N50">
        <v>1265</v>
      </c>
      <c r="O50">
        <v>1226</v>
      </c>
      <c r="P50">
        <v>312</v>
      </c>
      <c r="Q50">
        <v>365</v>
      </c>
      <c r="R50">
        <v>550</v>
      </c>
      <c r="S50">
        <v>904</v>
      </c>
      <c r="T50">
        <v>1154</v>
      </c>
      <c r="U50">
        <v>1150</v>
      </c>
      <c r="V50">
        <v>1593</v>
      </c>
      <c r="W50">
        <v>1577</v>
      </c>
      <c r="X50">
        <v>1107</v>
      </c>
      <c r="Y50">
        <v>1186</v>
      </c>
      <c r="Z50">
        <v>1145</v>
      </c>
    </row>
    <row r="51" spans="1:26">
      <c r="A51" t="s">
        <v>38</v>
      </c>
      <c r="B51">
        <v>2756</v>
      </c>
      <c r="C51">
        <v>2987</v>
      </c>
      <c r="D51">
        <v>3166.6</v>
      </c>
      <c r="E51">
        <v>3255</v>
      </c>
      <c r="F51">
        <v>3100</v>
      </c>
      <c r="G51">
        <v>3892</v>
      </c>
      <c r="H51">
        <v>3765</v>
      </c>
      <c r="I51">
        <v>3618</v>
      </c>
      <c r="J51">
        <v>4145</v>
      </c>
      <c r="K51">
        <v>4012</v>
      </c>
      <c r="L51">
        <v>3529</v>
      </c>
      <c r="M51">
        <v>3019</v>
      </c>
      <c r="N51">
        <v>3649</v>
      </c>
      <c r="O51">
        <v>3346</v>
      </c>
      <c r="P51">
        <v>3400</v>
      </c>
      <c r="Q51">
        <v>3617</v>
      </c>
      <c r="R51">
        <v>3838</v>
      </c>
      <c r="S51">
        <v>3738</v>
      </c>
      <c r="T51">
        <v>3987</v>
      </c>
      <c r="U51">
        <v>4100</v>
      </c>
      <c r="V51">
        <v>4037</v>
      </c>
      <c r="W51">
        <v>3185</v>
      </c>
      <c r="X51">
        <v>2753</v>
      </c>
      <c r="Y51">
        <v>4014</v>
      </c>
      <c r="Z51">
        <v>3153</v>
      </c>
    </row>
    <row r="52" spans="1:26">
      <c r="A52" t="s">
        <v>240</v>
      </c>
      <c r="B52">
        <v>6720</v>
      </c>
      <c r="C52">
        <v>5847</v>
      </c>
      <c r="D52">
        <v>7830</v>
      </c>
      <c r="E52">
        <v>7360</v>
      </c>
      <c r="F52">
        <v>7500</v>
      </c>
      <c r="G52">
        <v>7776</v>
      </c>
      <c r="H52">
        <v>7644</v>
      </c>
      <c r="I52">
        <v>7911</v>
      </c>
      <c r="J52">
        <v>7913</v>
      </c>
      <c r="K52">
        <v>7094</v>
      </c>
      <c r="L52">
        <v>6316</v>
      </c>
      <c r="M52">
        <v>5784</v>
      </c>
      <c r="N52">
        <v>6549</v>
      </c>
      <c r="O52">
        <v>6018</v>
      </c>
      <c r="P52">
        <v>6500</v>
      </c>
      <c r="Q52">
        <v>6224</v>
      </c>
      <c r="R52">
        <v>6014</v>
      </c>
      <c r="S52">
        <v>5589</v>
      </c>
      <c r="T52">
        <v>5010</v>
      </c>
      <c r="U52">
        <v>5100</v>
      </c>
      <c r="V52">
        <v>5446</v>
      </c>
      <c r="W52">
        <v>4452</v>
      </c>
      <c r="X52">
        <v>2279</v>
      </c>
      <c r="Y52">
        <v>3113</v>
      </c>
      <c r="Z52">
        <v>2594</v>
      </c>
    </row>
    <row r="53" spans="1:26">
      <c r="A53" t="s">
        <v>288</v>
      </c>
      <c r="B53">
        <v>4278</v>
      </c>
      <c r="C53">
        <v>4146</v>
      </c>
      <c r="D53">
        <v>4059</v>
      </c>
      <c r="E53">
        <v>4094</v>
      </c>
      <c r="F53">
        <v>3978</v>
      </c>
      <c r="G53">
        <v>3645</v>
      </c>
      <c r="H53">
        <v>4036</v>
      </c>
      <c r="I53">
        <v>4160</v>
      </c>
      <c r="J53">
        <v>3432</v>
      </c>
      <c r="K53">
        <v>3974</v>
      </c>
      <c r="L53">
        <v>3995</v>
      </c>
      <c r="M53">
        <v>4200</v>
      </c>
      <c r="N53">
        <v>3572</v>
      </c>
      <c r="O53">
        <v>3540</v>
      </c>
      <c r="P53">
        <v>3570</v>
      </c>
      <c r="Q53">
        <v>3949</v>
      </c>
      <c r="R53">
        <v>3958</v>
      </c>
      <c r="S53">
        <v>4450</v>
      </c>
      <c r="T53">
        <v>4114</v>
      </c>
      <c r="U53">
        <v>4500</v>
      </c>
      <c r="V53">
        <v>4521</v>
      </c>
      <c r="W53">
        <v>3880</v>
      </c>
      <c r="X53">
        <v>2850</v>
      </c>
      <c r="Y53">
        <v>4049</v>
      </c>
      <c r="Z53">
        <v>3399</v>
      </c>
    </row>
    <row r="54" spans="1:26">
      <c r="A54" t="s">
        <v>39</v>
      </c>
      <c r="B54">
        <v>3373</v>
      </c>
      <c r="C54">
        <v>3212</v>
      </c>
      <c r="D54">
        <v>3146</v>
      </c>
      <c r="E54">
        <v>3614</v>
      </c>
      <c r="F54">
        <v>3700</v>
      </c>
      <c r="G54">
        <v>3710</v>
      </c>
      <c r="H54">
        <v>3871</v>
      </c>
      <c r="I54">
        <v>3730</v>
      </c>
      <c r="J54">
        <v>3577</v>
      </c>
      <c r="K54">
        <v>3815</v>
      </c>
      <c r="L54">
        <v>3583</v>
      </c>
      <c r="M54">
        <v>1966</v>
      </c>
      <c r="N54">
        <v>3447</v>
      </c>
      <c r="O54">
        <v>3240</v>
      </c>
      <c r="P54">
        <v>2800</v>
      </c>
      <c r="Q54">
        <v>2896</v>
      </c>
      <c r="R54">
        <v>3078</v>
      </c>
      <c r="S54">
        <v>2865</v>
      </c>
      <c r="T54">
        <v>3078</v>
      </c>
      <c r="U54">
        <v>3100</v>
      </c>
      <c r="V54">
        <v>2877</v>
      </c>
      <c r="W54">
        <v>3172</v>
      </c>
      <c r="X54">
        <v>2854</v>
      </c>
      <c r="Y54">
        <v>2991</v>
      </c>
      <c r="Z54">
        <v>2821</v>
      </c>
    </row>
    <row r="55" spans="1:26">
      <c r="A55" t="s">
        <v>347</v>
      </c>
      <c r="B55">
        <v>100</v>
      </c>
      <c r="C55">
        <v>100</v>
      </c>
      <c r="D55">
        <v>100</v>
      </c>
      <c r="E55">
        <v>100</v>
      </c>
      <c r="F55">
        <v>100</v>
      </c>
    </row>
    <row r="56" spans="1:26">
      <c r="A56" t="s">
        <v>349</v>
      </c>
      <c r="B56">
        <v>9374</v>
      </c>
      <c r="C56">
        <v>9020</v>
      </c>
      <c r="D56">
        <v>9971</v>
      </c>
      <c r="E56">
        <v>10316</v>
      </c>
      <c r="F56">
        <v>10524</v>
      </c>
      <c r="G56">
        <v>10799</v>
      </c>
      <c r="H56">
        <v>10198</v>
      </c>
      <c r="I56">
        <v>9854</v>
      </c>
      <c r="J56">
        <v>10500</v>
      </c>
      <c r="K56">
        <v>10550</v>
      </c>
      <c r="L56">
        <v>9750</v>
      </c>
      <c r="M56">
        <v>7939</v>
      </c>
      <c r="N56">
        <v>9358</v>
      </c>
      <c r="O56">
        <v>12940</v>
      </c>
      <c r="P56">
        <v>11800</v>
      </c>
      <c r="Q56">
        <v>13319</v>
      </c>
      <c r="R56">
        <v>14440</v>
      </c>
      <c r="S56">
        <v>14370</v>
      </c>
      <c r="T56">
        <v>14830</v>
      </c>
      <c r="U56">
        <v>14400</v>
      </c>
      <c r="V56">
        <v>14841</v>
      </c>
      <c r="W56">
        <v>14510</v>
      </c>
      <c r="X56">
        <v>13441</v>
      </c>
      <c r="Y56">
        <v>15200</v>
      </c>
      <c r="Z56">
        <v>13391</v>
      </c>
    </row>
    <row r="57" spans="1:26">
      <c r="A57" t="s">
        <v>350</v>
      </c>
      <c r="B57">
        <v>1073.3330000000001</v>
      </c>
      <c r="C57">
        <v>1379</v>
      </c>
      <c r="D57">
        <v>1530</v>
      </c>
      <c r="E57">
        <v>2186.3820000000001</v>
      </c>
      <c r="F57">
        <v>2186.4</v>
      </c>
      <c r="G57">
        <v>2275</v>
      </c>
      <c r="H57">
        <v>2336.5</v>
      </c>
      <c r="I57">
        <v>2055</v>
      </c>
      <c r="J57">
        <v>2000</v>
      </c>
      <c r="K57">
        <v>2000</v>
      </c>
      <c r="L57">
        <v>1600</v>
      </c>
      <c r="M57">
        <v>1182</v>
      </c>
      <c r="N57">
        <v>1752</v>
      </c>
      <c r="O57">
        <v>1915</v>
      </c>
      <c r="P57">
        <v>1699</v>
      </c>
      <c r="Q57">
        <v>1295</v>
      </c>
      <c r="R57">
        <v>1612</v>
      </c>
      <c r="S57">
        <v>1125</v>
      </c>
      <c r="T57">
        <v>1500</v>
      </c>
      <c r="U57">
        <v>1500</v>
      </c>
      <c r="V57">
        <v>1540</v>
      </c>
      <c r="W57">
        <v>1700</v>
      </c>
      <c r="X57">
        <v>1340</v>
      </c>
      <c r="Y57">
        <v>1620</v>
      </c>
      <c r="Z57">
        <v>1430</v>
      </c>
    </row>
    <row r="58" spans="1:26">
      <c r="A58" t="s">
        <v>292</v>
      </c>
      <c r="B58">
        <v>123</v>
      </c>
      <c r="C58">
        <v>178</v>
      </c>
      <c r="D58">
        <v>196</v>
      </c>
      <c r="E58">
        <v>192</v>
      </c>
      <c r="F58">
        <v>152</v>
      </c>
      <c r="G58">
        <v>36</v>
      </c>
    </row>
    <row r="59" spans="1:26">
      <c r="A59" t="s">
        <v>45</v>
      </c>
      <c r="B59">
        <v>456.46499999999997</v>
      </c>
      <c r="C59">
        <v>314.67</v>
      </c>
      <c r="D59">
        <v>300</v>
      </c>
      <c r="E59">
        <v>300</v>
      </c>
      <c r="F59">
        <v>350</v>
      </c>
      <c r="G59">
        <v>5706.8</v>
      </c>
      <c r="H59">
        <v>5836</v>
      </c>
      <c r="I59">
        <v>5970</v>
      </c>
      <c r="J59">
        <v>5952</v>
      </c>
      <c r="K59">
        <v>6234</v>
      </c>
      <c r="L59">
        <v>6697</v>
      </c>
      <c r="M59">
        <v>6913.3249999999998</v>
      </c>
      <c r="N59">
        <v>7676.5919999999996</v>
      </c>
      <c r="O59">
        <v>7700</v>
      </c>
      <c r="P59">
        <v>8600</v>
      </c>
      <c r="Q59">
        <v>9180</v>
      </c>
      <c r="R59">
        <v>9364</v>
      </c>
      <c r="S59">
        <v>10184</v>
      </c>
      <c r="T59">
        <v>10303</v>
      </c>
      <c r="U59">
        <v>10600</v>
      </c>
      <c r="V59">
        <v>10536</v>
      </c>
      <c r="W59">
        <v>9869</v>
      </c>
      <c r="X59">
        <v>9971</v>
      </c>
      <c r="Y59">
        <v>10449</v>
      </c>
      <c r="Z59">
        <v>9067</v>
      </c>
    </row>
    <row r="60" spans="1:26">
      <c r="A60" t="s">
        <v>49</v>
      </c>
      <c r="B60">
        <v>20840</v>
      </c>
      <c r="C60">
        <v>21937</v>
      </c>
      <c r="D60">
        <v>25700</v>
      </c>
      <c r="E60">
        <v>26400</v>
      </c>
      <c r="F60">
        <v>27560</v>
      </c>
      <c r="G60">
        <v>29570</v>
      </c>
      <c r="H60">
        <v>31000</v>
      </c>
      <c r="I60">
        <v>30747</v>
      </c>
      <c r="J60">
        <v>32926</v>
      </c>
      <c r="K60">
        <v>35647</v>
      </c>
      <c r="L60">
        <v>30982</v>
      </c>
      <c r="M60">
        <v>25682</v>
      </c>
      <c r="N60">
        <v>27361</v>
      </c>
      <c r="O60">
        <v>28881.1</v>
      </c>
      <c r="P60">
        <v>28513.5</v>
      </c>
      <c r="Q60">
        <v>29089</v>
      </c>
      <c r="R60">
        <v>24801</v>
      </c>
      <c r="S60">
        <v>21863</v>
      </c>
      <c r="T60">
        <v>23613</v>
      </c>
      <c r="U60">
        <v>20100</v>
      </c>
      <c r="V60">
        <v>20531</v>
      </c>
      <c r="W60">
        <v>20056</v>
      </c>
      <c r="X60">
        <v>20420</v>
      </c>
      <c r="Y60">
        <v>21170</v>
      </c>
      <c r="Z60">
        <v>6391</v>
      </c>
    </row>
    <row r="61" spans="1:26">
      <c r="A61" t="s">
        <v>596</v>
      </c>
      <c r="Q61">
        <v>3075</v>
      </c>
      <c r="R61">
        <v>2410</v>
      </c>
      <c r="S61">
        <v>3190</v>
      </c>
      <c r="T61">
        <v>3480</v>
      </c>
      <c r="U61">
        <v>3608</v>
      </c>
      <c r="V61">
        <v>3784</v>
      </c>
      <c r="W61">
        <v>3667</v>
      </c>
      <c r="X61">
        <v>2961</v>
      </c>
      <c r="Y61">
        <v>2961</v>
      </c>
      <c r="Z61">
        <v>3446</v>
      </c>
    </row>
    <row r="62" spans="1:26">
      <c r="A62" t="s">
        <v>50</v>
      </c>
      <c r="B62">
        <v>12574</v>
      </c>
      <c r="C62">
        <v>12399</v>
      </c>
      <c r="D62">
        <v>10891</v>
      </c>
      <c r="E62">
        <v>9861</v>
      </c>
      <c r="F62">
        <v>8579</v>
      </c>
      <c r="G62">
        <v>10228</v>
      </c>
      <c r="H62">
        <v>10180</v>
      </c>
      <c r="I62">
        <v>10236</v>
      </c>
      <c r="J62">
        <v>10736</v>
      </c>
      <c r="K62">
        <v>11000</v>
      </c>
      <c r="L62">
        <v>10137</v>
      </c>
      <c r="M62">
        <v>7674</v>
      </c>
      <c r="N62">
        <v>7235</v>
      </c>
      <c r="O62">
        <v>6600</v>
      </c>
      <c r="P62">
        <v>7252</v>
      </c>
      <c r="Q62">
        <v>9471</v>
      </c>
      <c r="R62">
        <v>9705</v>
      </c>
      <c r="S62">
        <v>8774</v>
      </c>
      <c r="T62">
        <v>6218</v>
      </c>
      <c r="U62">
        <v>6000</v>
      </c>
      <c r="V62">
        <v>5590</v>
      </c>
      <c r="W62">
        <v>5622</v>
      </c>
      <c r="X62">
        <v>5235</v>
      </c>
      <c r="Y62">
        <v>5805</v>
      </c>
      <c r="Z62">
        <v>4779</v>
      </c>
    </row>
    <row r="63" spans="1:26">
      <c r="A63" t="s">
        <v>51</v>
      </c>
      <c r="B63">
        <v>49800</v>
      </c>
      <c r="C63">
        <v>48000</v>
      </c>
      <c r="D63">
        <v>49500</v>
      </c>
      <c r="E63">
        <v>42220</v>
      </c>
      <c r="F63">
        <v>40670</v>
      </c>
      <c r="G63">
        <v>40810</v>
      </c>
      <c r="H63">
        <v>42480</v>
      </c>
      <c r="I63">
        <v>37420</v>
      </c>
      <c r="J63">
        <v>38140</v>
      </c>
      <c r="K63">
        <v>36550</v>
      </c>
      <c r="L63">
        <v>33960</v>
      </c>
      <c r="M63">
        <v>19000</v>
      </c>
      <c r="N63">
        <v>26800</v>
      </c>
      <c r="O63">
        <v>30200</v>
      </c>
      <c r="P63">
        <v>32100</v>
      </c>
      <c r="Q63">
        <v>30300</v>
      </c>
      <c r="R63">
        <v>30700</v>
      </c>
      <c r="S63">
        <v>26500</v>
      </c>
      <c r="T63">
        <v>24110</v>
      </c>
      <c r="U63">
        <v>25390</v>
      </c>
      <c r="V63">
        <v>27450</v>
      </c>
      <c r="W63">
        <v>25540</v>
      </c>
      <c r="X63">
        <v>21550</v>
      </c>
      <c r="Y63">
        <v>27210</v>
      </c>
      <c r="Z63">
        <v>25040</v>
      </c>
    </row>
    <row r="64" spans="1:26">
      <c r="A64" t="s">
        <v>52</v>
      </c>
      <c r="B64">
        <v>5423.8810000000003</v>
      </c>
      <c r="C64">
        <v>5071.05</v>
      </c>
      <c r="D64">
        <v>6401</v>
      </c>
      <c r="E64">
        <v>5473</v>
      </c>
      <c r="F64">
        <v>3608.3</v>
      </c>
      <c r="G64">
        <v>6645.2560000000003</v>
      </c>
      <c r="H64">
        <v>7800</v>
      </c>
      <c r="I64">
        <v>8900</v>
      </c>
      <c r="J64">
        <v>8400</v>
      </c>
      <c r="K64">
        <v>8400</v>
      </c>
      <c r="L64">
        <v>8400</v>
      </c>
      <c r="M64">
        <v>8500</v>
      </c>
      <c r="N64">
        <v>8500</v>
      </c>
      <c r="O64">
        <v>4470</v>
      </c>
      <c r="P64">
        <v>4594</v>
      </c>
      <c r="Q64">
        <v>2770</v>
      </c>
      <c r="R64">
        <v>1680</v>
      </c>
      <c r="S64">
        <v>2750</v>
      </c>
      <c r="T64">
        <v>1590</v>
      </c>
      <c r="U64">
        <v>1590</v>
      </c>
      <c r="V64">
        <v>990</v>
      </c>
      <c r="W64">
        <v>385</v>
      </c>
      <c r="X64">
        <v>285</v>
      </c>
      <c r="Y64">
        <v>289</v>
      </c>
      <c r="Z64">
        <v>277</v>
      </c>
    </row>
    <row r="65" spans="1:26">
      <c r="A65" t="s">
        <v>86</v>
      </c>
      <c r="Q65">
        <v>650</v>
      </c>
      <c r="R65">
        <v>1393</v>
      </c>
      <c r="S65">
        <v>1700</v>
      </c>
      <c r="T65">
        <v>2000</v>
      </c>
      <c r="U65">
        <v>2000</v>
      </c>
      <c r="V65">
        <v>8323</v>
      </c>
      <c r="W65">
        <v>9836</v>
      </c>
      <c r="X65">
        <v>12500</v>
      </c>
      <c r="Y65">
        <v>15000</v>
      </c>
      <c r="Z65">
        <v>12374</v>
      </c>
    </row>
    <row r="66" spans="1:26">
      <c r="A66" t="s">
        <v>53</v>
      </c>
      <c r="B66">
        <v>217</v>
      </c>
      <c r="C66">
        <v>228</v>
      </c>
      <c r="D66">
        <v>240</v>
      </c>
      <c r="E66">
        <v>240</v>
      </c>
      <c r="F66">
        <v>150</v>
      </c>
      <c r="G66">
        <v>182</v>
      </c>
      <c r="H66">
        <v>125</v>
      </c>
      <c r="I66">
        <v>129</v>
      </c>
      <c r="J66">
        <v>38</v>
      </c>
      <c r="K66">
        <v>45</v>
      </c>
    </row>
    <row r="67" spans="1:26">
      <c r="A67" t="s">
        <v>54</v>
      </c>
      <c r="B67">
        <v>572000</v>
      </c>
      <c r="C67">
        <v>578000</v>
      </c>
      <c r="D67">
        <v>616000</v>
      </c>
      <c r="E67">
        <v>616000</v>
      </c>
      <c r="F67">
        <v>642000</v>
      </c>
      <c r="G67">
        <v>719000</v>
      </c>
      <c r="H67">
        <v>773000</v>
      </c>
      <c r="I67">
        <v>858000</v>
      </c>
      <c r="J67">
        <v>942000</v>
      </c>
      <c r="K67">
        <v>1010000</v>
      </c>
      <c r="L67">
        <v>998000</v>
      </c>
      <c r="M67">
        <v>986000</v>
      </c>
      <c r="N67">
        <v>1100000</v>
      </c>
      <c r="O67">
        <v>1180000</v>
      </c>
      <c r="P67">
        <v>1180000</v>
      </c>
      <c r="Q67">
        <v>1240000</v>
      </c>
      <c r="R67">
        <v>1260000</v>
      </c>
      <c r="S67">
        <v>1230000</v>
      </c>
      <c r="T67">
        <v>1240000</v>
      </c>
      <c r="U67">
        <v>1250000</v>
      </c>
      <c r="V67">
        <v>1370000</v>
      </c>
      <c r="W67">
        <v>1390000</v>
      </c>
      <c r="X67">
        <v>1440000</v>
      </c>
      <c r="Y67">
        <v>1460000</v>
      </c>
      <c r="Z67">
        <v>1420000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F8C2-966F-5D42-BF3A-F161834B02E9}">
  <dimension ref="A1:Z108"/>
  <sheetViews>
    <sheetView topLeftCell="A44" workbookViewId="0">
      <selection activeCell="G57" sqref="G57"/>
    </sheetView>
  </sheetViews>
  <sheetFormatPr baseColWidth="10" defaultRowHeight="16"/>
  <sheetData>
    <row r="1" spans="1:26">
      <c r="A1" t="s">
        <v>652</v>
      </c>
      <c r="B1">
        <v>1998</v>
      </c>
      <c r="C1">
        <v>1999</v>
      </c>
      <c r="D1">
        <v>2000</v>
      </c>
      <c r="E1">
        <v>2001</v>
      </c>
      <c r="F1">
        <v>2002</v>
      </c>
      <c r="G1">
        <v>2003</v>
      </c>
      <c r="H1">
        <v>2004</v>
      </c>
      <c r="I1">
        <v>2005</v>
      </c>
      <c r="J1">
        <v>2006</v>
      </c>
      <c r="K1">
        <v>2007</v>
      </c>
      <c r="L1">
        <v>2008</v>
      </c>
      <c r="M1">
        <v>2009</v>
      </c>
      <c r="N1">
        <v>2010</v>
      </c>
      <c r="O1">
        <v>2011</v>
      </c>
      <c r="P1">
        <v>2012</v>
      </c>
      <c r="Q1">
        <v>2013</v>
      </c>
      <c r="R1">
        <v>2014</v>
      </c>
      <c r="S1">
        <v>2015</v>
      </c>
      <c r="T1">
        <v>2016</v>
      </c>
      <c r="U1">
        <v>2017</v>
      </c>
      <c r="V1">
        <v>2018</v>
      </c>
      <c r="W1">
        <v>2019</v>
      </c>
      <c r="X1">
        <v>2020</v>
      </c>
      <c r="Y1">
        <v>2021</v>
      </c>
      <c r="Z1">
        <v>2022</v>
      </c>
    </row>
    <row r="2" spans="1:26">
      <c r="A2" t="s">
        <v>578</v>
      </c>
      <c r="Q2">
        <v>25</v>
      </c>
      <c r="R2">
        <v>24</v>
      </c>
      <c r="S2">
        <v>3</v>
      </c>
      <c r="T2">
        <v>24</v>
      </c>
      <c r="U2">
        <v>33</v>
      </c>
      <c r="V2">
        <v>33</v>
      </c>
      <c r="W2">
        <v>33</v>
      </c>
      <c r="X2">
        <v>29</v>
      </c>
      <c r="Y2">
        <v>29</v>
      </c>
      <c r="Z2">
        <v>10</v>
      </c>
    </row>
    <row r="3" spans="1:26">
      <c r="A3" t="s">
        <v>424</v>
      </c>
      <c r="B3">
        <v>15</v>
      </c>
      <c r="C3">
        <v>15.1</v>
      </c>
      <c r="D3">
        <v>64.7</v>
      </c>
      <c r="E3">
        <v>94.1</v>
      </c>
      <c r="F3">
        <v>100</v>
      </c>
      <c r="G3">
        <v>86.117000000000004</v>
      </c>
      <c r="H3">
        <v>98.025999999999996</v>
      </c>
      <c r="I3">
        <v>87</v>
      </c>
      <c r="J3">
        <v>100</v>
      </c>
      <c r="K3">
        <v>100</v>
      </c>
      <c r="L3">
        <v>380</v>
      </c>
      <c r="M3">
        <v>440</v>
      </c>
      <c r="N3">
        <v>390</v>
      </c>
      <c r="O3">
        <v>463.62</v>
      </c>
      <c r="P3">
        <v>500</v>
      </c>
      <c r="Q3">
        <v>550</v>
      </c>
      <c r="R3">
        <v>560</v>
      </c>
      <c r="S3">
        <v>150</v>
      </c>
      <c r="T3">
        <v>100</v>
      </c>
      <c r="U3">
        <v>100</v>
      </c>
      <c r="V3">
        <v>396</v>
      </c>
      <c r="W3">
        <v>406</v>
      </c>
      <c r="X3">
        <v>390</v>
      </c>
      <c r="Y3">
        <v>390</v>
      </c>
    </row>
    <row r="4" spans="1:26">
      <c r="A4" t="s">
        <v>7</v>
      </c>
      <c r="B4">
        <v>400</v>
      </c>
      <c r="C4">
        <v>758</v>
      </c>
      <c r="D4">
        <v>842</v>
      </c>
      <c r="E4">
        <v>850</v>
      </c>
      <c r="F4">
        <v>1090</v>
      </c>
      <c r="G4">
        <v>1051</v>
      </c>
      <c r="H4">
        <v>1014</v>
      </c>
      <c r="I4">
        <v>1007</v>
      </c>
      <c r="J4">
        <v>1158</v>
      </c>
      <c r="K4">
        <v>1278</v>
      </c>
      <c r="L4">
        <v>646</v>
      </c>
      <c r="M4">
        <v>543</v>
      </c>
      <c r="N4">
        <v>696</v>
      </c>
      <c r="O4">
        <v>440</v>
      </c>
      <c r="P4">
        <v>500</v>
      </c>
      <c r="Q4">
        <v>417</v>
      </c>
      <c r="R4">
        <v>415</v>
      </c>
      <c r="S4">
        <v>650</v>
      </c>
      <c r="T4">
        <v>650</v>
      </c>
      <c r="U4">
        <v>650</v>
      </c>
      <c r="V4">
        <v>2300</v>
      </c>
      <c r="W4">
        <v>2400</v>
      </c>
      <c r="X4">
        <v>3000</v>
      </c>
      <c r="Y4">
        <v>3000</v>
      </c>
      <c r="Z4">
        <v>3500</v>
      </c>
    </row>
    <row r="5" spans="1:26">
      <c r="A5" t="s">
        <v>657</v>
      </c>
      <c r="B5">
        <v>9</v>
      </c>
    </row>
    <row r="6" spans="1:26">
      <c r="A6" t="s">
        <v>224</v>
      </c>
      <c r="B6">
        <v>4210</v>
      </c>
      <c r="C6">
        <v>3797</v>
      </c>
      <c r="D6">
        <v>4472</v>
      </c>
      <c r="E6">
        <v>4107.0749999999998</v>
      </c>
      <c r="F6">
        <v>4363</v>
      </c>
      <c r="G6">
        <v>5033.2</v>
      </c>
      <c r="H6">
        <v>5133</v>
      </c>
      <c r="I6">
        <v>5386</v>
      </c>
      <c r="J6">
        <v>5532.7</v>
      </c>
      <c r="K6">
        <v>5387</v>
      </c>
      <c r="L6">
        <v>5441</v>
      </c>
      <c r="M6">
        <v>4014</v>
      </c>
      <c r="N6">
        <v>5138</v>
      </c>
      <c r="O6">
        <v>5655</v>
      </c>
      <c r="P6">
        <v>4995</v>
      </c>
      <c r="Q6">
        <v>5186</v>
      </c>
      <c r="R6">
        <v>5488</v>
      </c>
      <c r="S6">
        <v>5028</v>
      </c>
      <c r="T6">
        <v>4126</v>
      </c>
      <c r="U6">
        <v>4600</v>
      </c>
      <c r="V6">
        <v>5162</v>
      </c>
      <c r="W6">
        <v>4645</v>
      </c>
      <c r="X6">
        <v>3651</v>
      </c>
      <c r="Y6">
        <v>3651</v>
      </c>
      <c r="Z6">
        <v>5094</v>
      </c>
    </row>
    <row r="7" spans="1:26">
      <c r="A7" t="s">
        <v>10</v>
      </c>
      <c r="B7">
        <v>8798</v>
      </c>
      <c r="C7">
        <v>8158</v>
      </c>
      <c r="D7">
        <v>7812</v>
      </c>
      <c r="E7">
        <v>7600</v>
      </c>
      <c r="F7">
        <v>8242</v>
      </c>
      <c r="G7">
        <v>9678</v>
      </c>
      <c r="H7">
        <v>8353</v>
      </c>
      <c r="I7">
        <v>7788</v>
      </c>
      <c r="J7">
        <v>7937</v>
      </c>
      <c r="K7">
        <v>8047</v>
      </c>
      <c r="L7">
        <v>7724</v>
      </c>
      <c r="M7">
        <v>6135</v>
      </c>
      <c r="N7">
        <v>7140</v>
      </c>
      <c r="O7">
        <v>6538</v>
      </c>
      <c r="P7">
        <v>4894</v>
      </c>
      <c r="Q7">
        <v>4731</v>
      </c>
      <c r="R7">
        <v>4582</v>
      </c>
      <c r="S7">
        <v>4935</v>
      </c>
      <c r="T7">
        <v>5259</v>
      </c>
      <c r="U7">
        <v>5300</v>
      </c>
      <c r="V7">
        <v>5775</v>
      </c>
      <c r="W7">
        <v>5493</v>
      </c>
      <c r="X7">
        <v>5489</v>
      </c>
      <c r="Y7">
        <v>5489</v>
      </c>
      <c r="Z7">
        <v>5667</v>
      </c>
    </row>
    <row r="8" spans="1:26">
      <c r="A8" t="s">
        <v>11</v>
      </c>
      <c r="B8">
        <v>5298</v>
      </c>
      <c r="C8">
        <v>5213</v>
      </c>
      <c r="D8">
        <v>5725</v>
      </c>
      <c r="E8">
        <v>5887</v>
      </c>
      <c r="F8">
        <v>6208</v>
      </c>
      <c r="G8">
        <v>6261</v>
      </c>
      <c r="H8">
        <v>6530</v>
      </c>
      <c r="I8">
        <v>7031</v>
      </c>
      <c r="J8">
        <v>6487</v>
      </c>
      <c r="K8">
        <v>6871</v>
      </c>
      <c r="L8">
        <v>7594</v>
      </c>
      <c r="M8">
        <v>5662</v>
      </c>
      <c r="N8">
        <v>7206</v>
      </c>
      <c r="O8">
        <v>7474.05</v>
      </c>
      <c r="P8">
        <v>7420.674</v>
      </c>
      <c r="Q8">
        <v>7953</v>
      </c>
      <c r="R8">
        <v>7876</v>
      </c>
      <c r="S8">
        <v>7687</v>
      </c>
      <c r="T8">
        <v>7440</v>
      </c>
      <c r="U8">
        <v>8100</v>
      </c>
      <c r="V8">
        <v>6885</v>
      </c>
      <c r="W8">
        <v>7423</v>
      </c>
      <c r="X8">
        <v>6765</v>
      </c>
      <c r="Y8">
        <v>6765</v>
      </c>
      <c r="Z8">
        <v>7512</v>
      </c>
    </row>
    <row r="9" spans="1:26">
      <c r="A9" t="s">
        <v>80</v>
      </c>
      <c r="B9">
        <v>8</v>
      </c>
      <c r="G9">
        <v>56.353999999999999</v>
      </c>
      <c r="H9">
        <v>90.41</v>
      </c>
      <c r="I9">
        <v>286.11700000000002</v>
      </c>
      <c r="J9">
        <v>54.308999999999997</v>
      </c>
      <c r="K9">
        <v>273.39299999999997</v>
      </c>
      <c r="L9">
        <v>74.8</v>
      </c>
      <c r="M9">
        <v>78.873999999999995</v>
      </c>
      <c r="N9">
        <v>129.124</v>
      </c>
      <c r="O9">
        <v>231.6</v>
      </c>
      <c r="P9">
        <v>235</v>
      </c>
      <c r="Q9">
        <v>223</v>
      </c>
      <c r="R9">
        <v>324</v>
      </c>
      <c r="S9">
        <v>302</v>
      </c>
      <c r="T9">
        <v>180</v>
      </c>
      <c r="U9">
        <v>180</v>
      </c>
      <c r="V9">
        <v>382</v>
      </c>
      <c r="W9">
        <v>326</v>
      </c>
      <c r="X9">
        <v>265</v>
      </c>
      <c r="Y9">
        <v>265</v>
      </c>
      <c r="Z9">
        <v>391</v>
      </c>
    </row>
    <row r="10" spans="1:26">
      <c r="A10" t="s">
        <v>665</v>
      </c>
      <c r="Q10">
        <v>970</v>
      </c>
      <c r="R10">
        <v>970</v>
      </c>
      <c r="S10">
        <v>970</v>
      </c>
      <c r="T10">
        <v>960</v>
      </c>
      <c r="U10">
        <v>960</v>
      </c>
    </row>
    <row r="11" spans="1:26">
      <c r="A11" t="s">
        <v>658</v>
      </c>
      <c r="B11">
        <v>35</v>
      </c>
      <c r="C11">
        <v>36</v>
      </c>
      <c r="D11">
        <v>35</v>
      </c>
      <c r="E11">
        <v>30</v>
      </c>
      <c r="F11">
        <v>30</v>
      </c>
      <c r="G11">
        <v>25</v>
      </c>
      <c r="H11">
        <v>25</v>
      </c>
      <c r="I11">
        <v>20</v>
      </c>
      <c r="J11">
        <v>20</v>
      </c>
      <c r="V11">
        <v>2370</v>
      </c>
      <c r="W11">
        <v>3760</v>
      </c>
      <c r="X11">
        <v>3750</v>
      </c>
      <c r="Y11">
        <v>3750</v>
      </c>
      <c r="Z11">
        <v>4480</v>
      </c>
    </row>
    <row r="12" spans="1:26">
      <c r="A12" t="s">
        <v>312</v>
      </c>
      <c r="B12">
        <v>1412</v>
      </c>
      <c r="C12">
        <v>1449</v>
      </c>
      <c r="D12">
        <v>1623</v>
      </c>
      <c r="E12">
        <v>1500</v>
      </c>
      <c r="F12">
        <v>1500</v>
      </c>
      <c r="G12">
        <v>1570</v>
      </c>
      <c r="H12">
        <v>1900</v>
      </c>
      <c r="I12">
        <v>2076</v>
      </c>
      <c r="J12">
        <v>2100</v>
      </c>
      <c r="K12">
        <v>2214</v>
      </c>
      <c r="L12">
        <v>2660</v>
      </c>
      <c r="M12">
        <v>2448.8000000000002</v>
      </c>
      <c r="N12">
        <v>2671.6</v>
      </c>
      <c r="O12">
        <v>2779</v>
      </c>
      <c r="P12">
        <v>2750</v>
      </c>
      <c r="Q12">
        <v>2395</v>
      </c>
      <c r="R12">
        <v>2598</v>
      </c>
      <c r="S12">
        <v>2579</v>
      </c>
      <c r="T12">
        <v>2188</v>
      </c>
      <c r="U12">
        <v>2400</v>
      </c>
      <c r="V12">
        <v>2573</v>
      </c>
      <c r="W12">
        <v>2718</v>
      </c>
      <c r="X12">
        <v>2560</v>
      </c>
      <c r="Y12">
        <v>2560</v>
      </c>
      <c r="Z12">
        <v>2078</v>
      </c>
    </row>
    <row r="13" spans="1:26">
      <c r="A13" t="s">
        <v>261</v>
      </c>
      <c r="B13">
        <v>11427</v>
      </c>
      <c r="C13">
        <v>10972</v>
      </c>
      <c r="D13">
        <v>11637</v>
      </c>
      <c r="E13">
        <v>10783</v>
      </c>
      <c r="F13">
        <v>11495</v>
      </c>
      <c r="G13">
        <v>11114</v>
      </c>
      <c r="H13">
        <v>11698</v>
      </c>
      <c r="I13">
        <v>8906</v>
      </c>
      <c r="J13">
        <v>11238</v>
      </c>
      <c r="K13">
        <v>11000</v>
      </c>
      <c r="L13">
        <v>10676</v>
      </c>
      <c r="M13">
        <v>5636</v>
      </c>
      <c r="N13">
        <v>7973</v>
      </c>
      <c r="O13">
        <v>8026</v>
      </c>
      <c r="P13">
        <v>7386</v>
      </c>
      <c r="Q13">
        <v>7093</v>
      </c>
      <c r="R13">
        <v>7331</v>
      </c>
      <c r="S13">
        <v>7257</v>
      </c>
      <c r="T13">
        <v>7687</v>
      </c>
      <c r="U13">
        <v>7800</v>
      </c>
      <c r="V13">
        <v>7980</v>
      </c>
      <c r="W13">
        <v>7760</v>
      </c>
      <c r="X13">
        <v>6119</v>
      </c>
      <c r="Y13">
        <v>6119</v>
      </c>
      <c r="Z13">
        <v>7030</v>
      </c>
    </row>
    <row r="14" spans="1:26">
      <c r="A14" t="s">
        <v>81</v>
      </c>
      <c r="B14">
        <v>50</v>
      </c>
      <c r="C14">
        <v>60</v>
      </c>
      <c r="D14">
        <v>77</v>
      </c>
      <c r="E14">
        <v>84</v>
      </c>
      <c r="F14">
        <v>85</v>
      </c>
      <c r="G14">
        <v>166.36799999999999</v>
      </c>
      <c r="H14">
        <v>117.17</v>
      </c>
      <c r="I14">
        <v>283.11099999999999</v>
      </c>
      <c r="J14">
        <v>469.12200000000001</v>
      </c>
      <c r="K14">
        <v>550</v>
      </c>
      <c r="L14">
        <v>608</v>
      </c>
      <c r="M14">
        <v>519</v>
      </c>
      <c r="N14">
        <v>590.75699999999995</v>
      </c>
      <c r="O14">
        <v>648.55999999999995</v>
      </c>
      <c r="P14">
        <v>700.34100000000001</v>
      </c>
      <c r="Q14">
        <v>722</v>
      </c>
      <c r="R14">
        <v>792</v>
      </c>
      <c r="S14">
        <v>796</v>
      </c>
      <c r="T14">
        <v>806</v>
      </c>
      <c r="U14">
        <v>806</v>
      </c>
      <c r="V14">
        <v>695</v>
      </c>
      <c r="W14">
        <v>801</v>
      </c>
      <c r="X14">
        <v>759</v>
      </c>
      <c r="Y14">
        <v>759</v>
      </c>
      <c r="Z14">
        <v>890</v>
      </c>
    </row>
    <row r="15" spans="1:26">
      <c r="A15" t="s">
        <v>15</v>
      </c>
      <c r="B15">
        <v>25800</v>
      </c>
      <c r="C15">
        <v>24996</v>
      </c>
      <c r="D15">
        <v>27865</v>
      </c>
      <c r="E15">
        <v>26717</v>
      </c>
      <c r="F15">
        <v>29603.599999999999</v>
      </c>
      <c r="G15">
        <v>31150</v>
      </c>
      <c r="H15">
        <v>32918</v>
      </c>
      <c r="I15">
        <v>31631</v>
      </c>
      <c r="J15">
        <v>30900</v>
      </c>
      <c r="K15">
        <v>31800</v>
      </c>
      <c r="L15">
        <v>33726</v>
      </c>
      <c r="M15">
        <v>26506</v>
      </c>
      <c r="N15">
        <v>33033</v>
      </c>
      <c r="O15">
        <v>35200</v>
      </c>
      <c r="P15">
        <v>35000</v>
      </c>
      <c r="Q15">
        <v>34163</v>
      </c>
      <c r="R15">
        <v>33912</v>
      </c>
      <c r="S15">
        <v>33300</v>
      </c>
      <c r="T15">
        <v>31275</v>
      </c>
      <c r="U15">
        <v>34400</v>
      </c>
      <c r="V15">
        <v>35407</v>
      </c>
      <c r="W15">
        <v>32236</v>
      </c>
      <c r="X15">
        <v>31415</v>
      </c>
      <c r="Y15">
        <v>31415</v>
      </c>
      <c r="Z15">
        <v>34089</v>
      </c>
    </row>
    <row r="16" spans="1:26">
      <c r="A16" t="s">
        <v>16</v>
      </c>
      <c r="B16">
        <v>2216</v>
      </c>
      <c r="C16">
        <v>1889</v>
      </c>
      <c r="D16">
        <v>2017</v>
      </c>
      <c r="E16">
        <v>1942</v>
      </c>
      <c r="F16">
        <v>2000</v>
      </c>
      <c r="G16">
        <v>2317</v>
      </c>
      <c r="H16">
        <v>2106</v>
      </c>
      <c r="I16">
        <v>1969</v>
      </c>
      <c r="J16">
        <v>2124</v>
      </c>
      <c r="K16">
        <v>2050</v>
      </c>
      <c r="L16">
        <v>1330</v>
      </c>
      <c r="M16">
        <v>726</v>
      </c>
      <c r="N16">
        <v>740</v>
      </c>
      <c r="O16">
        <v>834</v>
      </c>
      <c r="P16">
        <v>633</v>
      </c>
      <c r="Q16">
        <v>523</v>
      </c>
      <c r="R16">
        <v>612</v>
      </c>
      <c r="S16">
        <v>543</v>
      </c>
      <c r="T16">
        <v>527</v>
      </c>
      <c r="U16">
        <v>527</v>
      </c>
      <c r="V16">
        <v>666</v>
      </c>
      <c r="W16">
        <v>566</v>
      </c>
      <c r="X16">
        <v>484</v>
      </c>
      <c r="Y16">
        <v>484</v>
      </c>
      <c r="Z16">
        <v>482</v>
      </c>
    </row>
    <row r="17" spans="1:26">
      <c r="A17" t="s">
        <v>659</v>
      </c>
      <c r="B17">
        <v>23.5</v>
      </c>
      <c r="C17">
        <v>23.5</v>
      </c>
      <c r="D17">
        <v>23.5</v>
      </c>
      <c r="E17">
        <v>23.5</v>
      </c>
      <c r="F17">
        <v>23.5</v>
      </c>
      <c r="G17">
        <v>25</v>
      </c>
      <c r="H17">
        <v>25</v>
      </c>
      <c r="I17">
        <v>25</v>
      </c>
      <c r="J17">
        <v>25</v>
      </c>
      <c r="K17">
        <v>25</v>
      </c>
      <c r="L17">
        <v>25</v>
      </c>
      <c r="M17">
        <v>25</v>
      </c>
      <c r="N17">
        <v>25</v>
      </c>
      <c r="O17">
        <v>25</v>
      </c>
      <c r="P17">
        <v>25</v>
      </c>
      <c r="V17">
        <v>300</v>
      </c>
      <c r="W17">
        <v>350</v>
      </c>
      <c r="X17">
        <v>350</v>
      </c>
      <c r="Y17">
        <v>350</v>
      </c>
      <c r="Z17">
        <v>400</v>
      </c>
    </row>
    <row r="18" spans="1:26">
      <c r="A18" t="s">
        <v>226</v>
      </c>
      <c r="B18">
        <v>15930</v>
      </c>
      <c r="C18">
        <v>16300</v>
      </c>
      <c r="D18">
        <v>15900</v>
      </c>
      <c r="E18">
        <v>16300</v>
      </c>
      <c r="F18">
        <v>16300</v>
      </c>
      <c r="G18">
        <v>15928</v>
      </c>
      <c r="H18">
        <v>16305</v>
      </c>
      <c r="I18">
        <v>15327</v>
      </c>
      <c r="J18">
        <v>15493</v>
      </c>
      <c r="K18">
        <v>15569</v>
      </c>
      <c r="L18">
        <v>14845</v>
      </c>
      <c r="M18">
        <v>9245</v>
      </c>
      <c r="N18">
        <v>13003</v>
      </c>
      <c r="O18">
        <v>12890.754000000001</v>
      </c>
      <c r="P18">
        <v>13507.124</v>
      </c>
      <c r="Q18">
        <v>12417</v>
      </c>
      <c r="R18">
        <v>12730</v>
      </c>
      <c r="S18">
        <v>12473</v>
      </c>
      <c r="T18">
        <v>12646</v>
      </c>
      <c r="U18">
        <v>13600</v>
      </c>
      <c r="V18">
        <v>13443</v>
      </c>
      <c r="W18">
        <v>12897</v>
      </c>
      <c r="X18">
        <v>10986</v>
      </c>
      <c r="Y18">
        <v>10986</v>
      </c>
      <c r="Z18">
        <v>12098</v>
      </c>
    </row>
    <row r="19" spans="1:26">
      <c r="A19" t="s">
        <v>18</v>
      </c>
      <c r="B19">
        <v>1171.4090000000001</v>
      </c>
      <c r="C19">
        <v>1290.5119999999999</v>
      </c>
      <c r="D19">
        <v>1351.9860000000001</v>
      </c>
      <c r="E19">
        <v>1246.864</v>
      </c>
      <c r="F19">
        <v>1279.5</v>
      </c>
      <c r="G19">
        <v>1377.297</v>
      </c>
      <c r="H19">
        <v>1579</v>
      </c>
      <c r="I19">
        <v>1536</v>
      </c>
      <c r="J19">
        <v>1627</v>
      </c>
      <c r="K19">
        <v>1666</v>
      </c>
      <c r="L19">
        <v>1523</v>
      </c>
      <c r="M19">
        <v>1308</v>
      </c>
      <c r="N19">
        <v>1011</v>
      </c>
      <c r="O19">
        <v>1615</v>
      </c>
      <c r="P19">
        <v>1683</v>
      </c>
      <c r="Q19">
        <v>1323</v>
      </c>
      <c r="R19">
        <v>1079</v>
      </c>
      <c r="S19">
        <v>1112</v>
      </c>
      <c r="T19">
        <v>1153</v>
      </c>
      <c r="U19">
        <v>1150</v>
      </c>
      <c r="V19">
        <v>1145</v>
      </c>
      <c r="W19">
        <v>1133</v>
      </c>
      <c r="X19">
        <v>1157</v>
      </c>
      <c r="Y19">
        <v>1157</v>
      </c>
      <c r="Z19">
        <v>1151</v>
      </c>
    </row>
    <row r="20" spans="1:26">
      <c r="A20" t="s">
        <v>227</v>
      </c>
      <c r="B20">
        <v>115590</v>
      </c>
      <c r="C20">
        <v>124260</v>
      </c>
      <c r="D20">
        <v>128500</v>
      </c>
      <c r="E20">
        <v>151630</v>
      </c>
      <c r="F20">
        <v>181550</v>
      </c>
      <c r="G20">
        <v>222340</v>
      </c>
      <c r="H20">
        <v>272450</v>
      </c>
      <c r="I20">
        <v>353240</v>
      </c>
      <c r="J20">
        <v>419150</v>
      </c>
      <c r="K20">
        <v>489240</v>
      </c>
      <c r="L20">
        <v>500490</v>
      </c>
      <c r="M20">
        <v>572180</v>
      </c>
      <c r="N20">
        <v>637230</v>
      </c>
      <c r="O20">
        <v>685280</v>
      </c>
      <c r="P20">
        <v>716540</v>
      </c>
      <c r="Q20">
        <v>779040</v>
      </c>
      <c r="R20">
        <v>822300</v>
      </c>
      <c r="S20">
        <v>803820</v>
      </c>
      <c r="T20">
        <v>808366</v>
      </c>
      <c r="U20">
        <v>831700</v>
      </c>
      <c r="V20">
        <v>920027</v>
      </c>
      <c r="W20">
        <v>995419</v>
      </c>
      <c r="X20">
        <v>1064730</v>
      </c>
      <c r="Y20">
        <v>1064730</v>
      </c>
      <c r="Z20">
        <v>1015766</v>
      </c>
    </row>
    <row r="21" spans="1:26">
      <c r="A21" t="s">
        <v>20</v>
      </c>
      <c r="B21">
        <v>635.81399999999996</v>
      </c>
      <c r="C21">
        <v>534.03800000000001</v>
      </c>
      <c r="D21">
        <v>659.88199999999995</v>
      </c>
      <c r="E21">
        <v>638.29999999999995</v>
      </c>
      <c r="F21">
        <v>662.5</v>
      </c>
      <c r="G21">
        <v>668.41</v>
      </c>
      <c r="H21">
        <v>730</v>
      </c>
      <c r="I21">
        <v>842</v>
      </c>
      <c r="J21">
        <v>1221</v>
      </c>
      <c r="K21">
        <v>1260</v>
      </c>
      <c r="L21">
        <v>1053</v>
      </c>
      <c r="M21">
        <v>1079</v>
      </c>
      <c r="N21">
        <v>1209</v>
      </c>
      <c r="O21">
        <v>1290</v>
      </c>
      <c r="P21">
        <v>1324</v>
      </c>
      <c r="Q21">
        <v>1236</v>
      </c>
      <c r="R21">
        <v>1208</v>
      </c>
      <c r="S21">
        <v>1211</v>
      </c>
      <c r="T21">
        <v>1272</v>
      </c>
      <c r="U21">
        <v>1300</v>
      </c>
      <c r="V21">
        <v>1219</v>
      </c>
      <c r="W21">
        <v>1333</v>
      </c>
      <c r="X21">
        <v>1149</v>
      </c>
      <c r="Y21">
        <v>1149</v>
      </c>
      <c r="Z21">
        <v>1320</v>
      </c>
    </row>
    <row r="22" spans="1:26">
      <c r="A22" t="s">
        <v>317</v>
      </c>
      <c r="B22">
        <v>104.854</v>
      </c>
      <c r="C22">
        <v>77.212999999999994</v>
      </c>
      <c r="D22">
        <v>71.021000000000001</v>
      </c>
      <c r="E22">
        <v>57.993000000000002</v>
      </c>
      <c r="F22">
        <v>65</v>
      </c>
      <c r="G22">
        <v>433.8</v>
      </c>
      <c r="H22">
        <v>80</v>
      </c>
      <c r="I22">
        <v>73.64</v>
      </c>
      <c r="J22">
        <v>80.516000000000005</v>
      </c>
      <c r="K22">
        <v>75</v>
      </c>
      <c r="L22">
        <v>121.759</v>
      </c>
      <c r="M22">
        <v>51.582999999999998</v>
      </c>
      <c r="N22">
        <v>110</v>
      </c>
      <c r="O22">
        <v>100</v>
      </c>
      <c r="P22">
        <v>100</v>
      </c>
      <c r="Q22">
        <v>135</v>
      </c>
      <c r="R22">
        <v>167</v>
      </c>
      <c r="S22">
        <v>122</v>
      </c>
      <c r="V22">
        <v>136</v>
      </c>
      <c r="W22">
        <v>69</v>
      </c>
      <c r="X22">
        <v>45</v>
      </c>
      <c r="Y22">
        <v>45</v>
      </c>
      <c r="Z22">
        <v>169</v>
      </c>
    </row>
    <row r="23" spans="1:26">
      <c r="A23" t="s">
        <v>318</v>
      </c>
      <c r="B23">
        <v>283.327</v>
      </c>
      <c r="C23">
        <v>302.66199999999998</v>
      </c>
      <c r="D23">
        <v>327.3</v>
      </c>
      <c r="E23">
        <v>269.60000000000002</v>
      </c>
      <c r="F23">
        <v>269.60000000000002</v>
      </c>
      <c r="G23">
        <v>209.8</v>
      </c>
      <c r="H23">
        <v>193.2</v>
      </c>
      <c r="I23">
        <v>245.1</v>
      </c>
      <c r="J23">
        <v>257.2</v>
      </c>
      <c r="K23">
        <v>260</v>
      </c>
      <c r="L23">
        <v>273.8</v>
      </c>
      <c r="M23">
        <v>274</v>
      </c>
      <c r="N23">
        <v>265</v>
      </c>
      <c r="O23">
        <v>290</v>
      </c>
      <c r="P23">
        <v>317</v>
      </c>
      <c r="Q23">
        <v>267</v>
      </c>
      <c r="R23">
        <v>258</v>
      </c>
      <c r="S23">
        <v>222</v>
      </c>
      <c r="T23">
        <v>244</v>
      </c>
      <c r="U23">
        <v>244</v>
      </c>
      <c r="V23">
        <v>225</v>
      </c>
      <c r="W23">
        <v>230</v>
      </c>
      <c r="X23">
        <v>185</v>
      </c>
      <c r="Y23">
        <v>185</v>
      </c>
      <c r="Z23">
        <v>200</v>
      </c>
    </row>
    <row r="24" spans="1:26">
      <c r="A24" t="s">
        <v>319</v>
      </c>
      <c r="B24">
        <v>6498</v>
      </c>
      <c r="C24">
        <v>5613</v>
      </c>
      <c r="D24">
        <v>6216</v>
      </c>
      <c r="E24">
        <v>6316</v>
      </c>
      <c r="F24">
        <v>6500</v>
      </c>
      <c r="G24">
        <v>6783</v>
      </c>
      <c r="H24">
        <v>7033</v>
      </c>
      <c r="I24">
        <v>6189</v>
      </c>
      <c r="J24">
        <v>6862</v>
      </c>
      <c r="K24">
        <v>7059</v>
      </c>
      <c r="L24">
        <v>6387</v>
      </c>
      <c r="M24">
        <v>4594</v>
      </c>
      <c r="N24">
        <v>5180</v>
      </c>
      <c r="O24">
        <v>5582.5379999999996</v>
      </c>
      <c r="P24">
        <v>5072.0749999999998</v>
      </c>
      <c r="Q24">
        <v>5171</v>
      </c>
      <c r="R24">
        <v>5360</v>
      </c>
      <c r="S24">
        <v>5262</v>
      </c>
      <c r="T24">
        <v>5305</v>
      </c>
      <c r="U24">
        <v>4600</v>
      </c>
      <c r="V24">
        <v>4864</v>
      </c>
      <c r="W24">
        <v>4437</v>
      </c>
      <c r="X24">
        <v>4465</v>
      </c>
      <c r="Y24">
        <v>4465</v>
      </c>
      <c r="Z24">
        <v>4289</v>
      </c>
    </row>
    <row r="25" spans="1:26">
      <c r="A25" t="s">
        <v>320</v>
      </c>
      <c r="B25">
        <v>790</v>
      </c>
      <c r="C25">
        <v>748</v>
      </c>
      <c r="D25">
        <v>803</v>
      </c>
      <c r="E25">
        <v>746</v>
      </c>
      <c r="F25">
        <v>392</v>
      </c>
    </row>
    <row r="26" spans="1:26">
      <c r="A26" t="s">
        <v>321</v>
      </c>
      <c r="B26">
        <v>35.874000000000002</v>
      </c>
      <c r="C26">
        <v>42.893000000000001</v>
      </c>
      <c r="D26">
        <v>35.801000000000002</v>
      </c>
      <c r="E26">
        <v>35.799999999999997</v>
      </c>
      <c r="F26">
        <v>35.799999999999997</v>
      </c>
    </row>
    <row r="27" spans="1:26">
      <c r="A27" t="s">
        <v>322</v>
      </c>
      <c r="B27">
        <v>45.783999999999999</v>
      </c>
      <c r="C27">
        <v>53</v>
      </c>
      <c r="D27">
        <v>58.482999999999997</v>
      </c>
      <c r="E27">
        <v>59.7</v>
      </c>
      <c r="F27">
        <v>67.2</v>
      </c>
      <c r="G27">
        <v>79.793999999999997</v>
      </c>
      <c r="H27">
        <v>72</v>
      </c>
      <c r="I27">
        <v>84</v>
      </c>
      <c r="J27">
        <v>85</v>
      </c>
      <c r="K27">
        <v>87</v>
      </c>
      <c r="L27">
        <v>128</v>
      </c>
      <c r="M27">
        <v>259</v>
      </c>
      <c r="N27">
        <v>368</v>
      </c>
      <c r="O27">
        <v>525</v>
      </c>
      <c r="P27">
        <v>479</v>
      </c>
      <c r="Q27">
        <v>570</v>
      </c>
      <c r="R27">
        <v>667</v>
      </c>
      <c r="S27">
        <v>720</v>
      </c>
      <c r="T27">
        <v>576</v>
      </c>
      <c r="U27">
        <v>576</v>
      </c>
      <c r="V27">
        <v>583</v>
      </c>
      <c r="W27">
        <v>607</v>
      </c>
      <c r="X27">
        <v>482</v>
      </c>
      <c r="Y27">
        <v>482</v>
      </c>
      <c r="Z27">
        <v>536</v>
      </c>
    </row>
    <row r="28" spans="1:26">
      <c r="A28" t="s">
        <v>21</v>
      </c>
      <c r="B28">
        <v>2870</v>
      </c>
      <c r="C28">
        <v>2619</v>
      </c>
      <c r="D28">
        <v>2820</v>
      </c>
      <c r="E28">
        <v>3800</v>
      </c>
      <c r="F28">
        <v>4200</v>
      </c>
      <c r="G28">
        <v>4368</v>
      </c>
      <c r="H28">
        <v>4777</v>
      </c>
      <c r="I28">
        <v>5565</v>
      </c>
      <c r="J28">
        <v>6004</v>
      </c>
      <c r="K28">
        <v>6182</v>
      </c>
      <c r="L28">
        <v>6198</v>
      </c>
      <c r="M28">
        <v>5508</v>
      </c>
      <c r="N28">
        <v>6700</v>
      </c>
      <c r="O28">
        <v>6486</v>
      </c>
      <c r="P28">
        <v>6600</v>
      </c>
      <c r="Q28">
        <v>6754</v>
      </c>
      <c r="R28">
        <v>6485</v>
      </c>
      <c r="S28">
        <v>5506</v>
      </c>
      <c r="T28">
        <v>5036</v>
      </c>
      <c r="U28">
        <v>6900</v>
      </c>
      <c r="V28">
        <v>7807</v>
      </c>
      <c r="W28">
        <v>7257</v>
      </c>
      <c r="X28">
        <v>8229</v>
      </c>
      <c r="Y28">
        <v>8229</v>
      </c>
      <c r="Z28">
        <v>9819</v>
      </c>
    </row>
    <row r="29" spans="1:26">
      <c r="A29" t="s">
        <v>323</v>
      </c>
      <c r="B29">
        <v>43.161999999999999</v>
      </c>
      <c r="C29">
        <v>33.500999999999998</v>
      </c>
      <c r="D29">
        <v>40.506</v>
      </c>
      <c r="E29">
        <v>38.502000000000002</v>
      </c>
      <c r="F29">
        <v>48.8</v>
      </c>
      <c r="G29">
        <v>56.9</v>
      </c>
      <c r="H29">
        <v>59</v>
      </c>
      <c r="I29">
        <v>48</v>
      </c>
      <c r="J29">
        <v>72</v>
      </c>
      <c r="K29">
        <v>73</v>
      </c>
      <c r="L29">
        <v>71</v>
      </c>
      <c r="M29">
        <v>56</v>
      </c>
      <c r="N29">
        <v>51</v>
      </c>
      <c r="O29">
        <v>100</v>
      </c>
      <c r="P29">
        <v>92</v>
      </c>
      <c r="Q29">
        <v>118</v>
      </c>
      <c r="R29">
        <v>121</v>
      </c>
      <c r="S29">
        <v>124</v>
      </c>
      <c r="T29">
        <v>100</v>
      </c>
      <c r="U29">
        <v>100</v>
      </c>
      <c r="V29">
        <v>99</v>
      </c>
      <c r="W29">
        <v>105</v>
      </c>
      <c r="X29">
        <v>82</v>
      </c>
      <c r="Y29">
        <v>82</v>
      </c>
      <c r="Z29">
        <v>89</v>
      </c>
    </row>
    <row r="30" spans="1:26">
      <c r="A30" t="s">
        <v>662</v>
      </c>
      <c r="G30">
        <v>6</v>
      </c>
      <c r="H30">
        <v>30</v>
      </c>
      <c r="I30">
        <v>60</v>
      </c>
      <c r="J30">
        <v>60</v>
      </c>
      <c r="K30">
        <v>110</v>
      </c>
      <c r="L30">
        <v>150</v>
      </c>
      <c r="M30">
        <v>150</v>
      </c>
      <c r="N30">
        <v>150</v>
      </c>
      <c r="O30">
        <v>130</v>
      </c>
      <c r="P30">
        <v>130</v>
      </c>
      <c r="T30">
        <v>690</v>
      </c>
      <c r="U30">
        <v>690</v>
      </c>
    </row>
    <row r="31" spans="1:26">
      <c r="A31" t="s">
        <v>267</v>
      </c>
      <c r="B31">
        <v>3932</v>
      </c>
      <c r="C31">
        <v>3956</v>
      </c>
      <c r="D31">
        <v>4096</v>
      </c>
      <c r="E31">
        <v>3938</v>
      </c>
      <c r="F31">
        <v>4004</v>
      </c>
      <c r="G31">
        <v>4766</v>
      </c>
      <c r="H31">
        <v>4833</v>
      </c>
      <c r="I31">
        <v>4738</v>
      </c>
      <c r="J31">
        <v>5052</v>
      </c>
      <c r="K31">
        <v>5000</v>
      </c>
      <c r="L31">
        <v>4418</v>
      </c>
      <c r="M31">
        <v>3078</v>
      </c>
      <c r="N31">
        <v>4029</v>
      </c>
      <c r="O31">
        <v>3989</v>
      </c>
      <c r="P31">
        <v>3759</v>
      </c>
      <c r="Q31">
        <v>3517</v>
      </c>
      <c r="R31">
        <v>3807</v>
      </c>
      <c r="S31">
        <v>3988</v>
      </c>
      <c r="T31">
        <v>4101</v>
      </c>
      <c r="U31">
        <v>4000</v>
      </c>
      <c r="V31">
        <v>4100</v>
      </c>
      <c r="W31">
        <v>3511</v>
      </c>
      <c r="X31">
        <v>3482</v>
      </c>
      <c r="Y31">
        <v>3482</v>
      </c>
      <c r="Z31">
        <v>3538</v>
      </c>
    </row>
    <row r="32" spans="1:26">
      <c r="A32" t="s">
        <v>268</v>
      </c>
      <c r="B32">
        <v>20126</v>
      </c>
      <c r="C32">
        <v>20211</v>
      </c>
      <c r="D32">
        <v>21002</v>
      </c>
      <c r="E32">
        <v>19431</v>
      </c>
      <c r="F32">
        <v>20524</v>
      </c>
      <c r="G32">
        <v>19803</v>
      </c>
      <c r="H32">
        <v>20770</v>
      </c>
      <c r="I32">
        <v>19481</v>
      </c>
      <c r="J32">
        <v>19857</v>
      </c>
      <c r="K32">
        <v>19252</v>
      </c>
      <c r="L32">
        <v>17874</v>
      </c>
      <c r="M32">
        <v>12836</v>
      </c>
      <c r="N32">
        <v>15416</v>
      </c>
      <c r="O32">
        <v>15800</v>
      </c>
      <c r="P32">
        <v>15607</v>
      </c>
      <c r="Q32">
        <v>15685</v>
      </c>
      <c r="R32">
        <v>16143</v>
      </c>
      <c r="S32">
        <v>14984</v>
      </c>
      <c r="T32">
        <v>14413</v>
      </c>
      <c r="U32">
        <v>15500</v>
      </c>
      <c r="V32">
        <v>15387</v>
      </c>
      <c r="W32">
        <v>14451</v>
      </c>
      <c r="X32">
        <v>11596</v>
      </c>
      <c r="Y32">
        <v>11596</v>
      </c>
      <c r="Z32">
        <v>12119</v>
      </c>
    </row>
    <row r="33" spans="1:26">
      <c r="A33" t="s">
        <v>324</v>
      </c>
      <c r="B33">
        <v>56.4</v>
      </c>
      <c r="C33">
        <v>7</v>
      </c>
      <c r="D33">
        <v>5</v>
      </c>
      <c r="E33">
        <v>5</v>
      </c>
      <c r="F33">
        <v>5</v>
      </c>
    </row>
    <row r="34" spans="1:26">
      <c r="A34" t="s">
        <v>22</v>
      </c>
      <c r="B34">
        <v>44046</v>
      </c>
      <c r="C34">
        <v>42056</v>
      </c>
      <c r="D34">
        <v>46376</v>
      </c>
      <c r="E34">
        <v>44775</v>
      </c>
      <c r="F34">
        <v>44999</v>
      </c>
      <c r="G34">
        <v>44809</v>
      </c>
      <c r="H34">
        <v>46374</v>
      </c>
      <c r="I34">
        <v>44524</v>
      </c>
      <c r="J34">
        <v>47224</v>
      </c>
      <c r="K34">
        <v>48550</v>
      </c>
      <c r="L34">
        <v>45833</v>
      </c>
      <c r="M34">
        <v>32671</v>
      </c>
      <c r="N34">
        <v>43830</v>
      </c>
      <c r="O34">
        <v>44284</v>
      </c>
      <c r="P34">
        <v>42661</v>
      </c>
      <c r="Q34">
        <v>42645</v>
      </c>
      <c r="R34">
        <v>42943</v>
      </c>
      <c r="S34">
        <v>42676</v>
      </c>
      <c r="T34">
        <v>42080</v>
      </c>
      <c r="U34">
        <v>43400</v>
      </c>
      <c r="V34">
        <v>42435</v>
      </c>
      <c r="W34">
        <v>39627</v>
      </c>
      <c r="X34">
        <v>35658</v>
      </c>
      <c r="Y34">
        <v>35658</v>
      </c>
      <c r="Z34">
        <v>36861</v>
      </c>
    </row>
    <row r="35" spans="1:26">
      <c r="A35" t="s">
        <v>670</v>
      </c>
      <c r="B35">
        <v>75</v>
      </c>
      <c r="C35">
        <v>75</v>
      </c>
      <c r="D35">
        <v>75</v>
      </c>
      <c r="E35">
        <v>75</v>
      </c>
      <c r="F35">
        <v>75</v>
      </c>
      <c r="G35">
        <v>25</v>
      </c>
      <c r="H35">
        <v>25</v>
      </c>
      <c r="I35">
        <v>25</v>
      </c>
      <c r="J35">
        <v>25</v>
      </c>
      <c r="K35">
        <v>25</v>
      </c>
    </row>
    <row r="36" spans="1:26">
      <c r="A36" t="s">
        <v>326</v>
      </c>
      <c r="B36">
        <v>1109</v>
      </c>
      <c r="C36">
        <v>951</v>
      </c>
      <c r="D36">
        <v>1056</v>
      </c>
      <c r="E36">
        <v>1281</v>
      </c>
      <c r="F36">
        <v>1835</v>
      </c>
      <c r="G36">
        <v>1701</v>
      </c>
      <c r="H36">
        <v>1967</v>
      </c>
      <c r="I36">
        <v>2266</v>
      </c>
      <c r="J36">
        <v>2416</v>
      </c>
      <c r="K36">
        <v>2400</v>
      </c>
      <c r="L36">
        <v>2400</v>
      </c>
      <c r="M36">
        <v>2082</v>
      </c>
      <c r="N36">
        <v>2100</v>
      </c>
      <c r="O36">
        <v>2000</v>
      </c>
      <c r="P36">
        <v>1800</v>
      </c>
      <c r="Q36">
        <v>1030</v>
      </c>
      <c r="R36">
        <v>1022</v>
      </c>
      <c r="S36">
        <v>910</v>
      </c>
      <c r="T36">
        <v>1158</v>
      </c>
      <c r="U36">
        <v>1400</v>
      </c>
      <c r="V36">
        <v>1467</v>
      </c>
      <c r="W36">
        <v>1350</v>
      </c>
      <c r="X36">
        <v>1408</v>
      </c>
      <c r="Y36">
        <v>1408</v>
      </c>
      <c r="Z36">
        <v>1534</v>
      </c>
    </row>
    <row r="37" spans="1:26">
      <c r="A37" t="s">
        <v>23</v>
      </c>
      <c r="B37">
        <v>28.146999999999998</v>
      </c>
      <c r="C37">
        <v>80</v>
      </c>
      <c r="D37">
        <v>166.453</v>
      </c>
      <c r="E37">
        <v>201.8</v>
      </c>
      <c r="F37">
        <v>215.9</v>
      </c>
      <c r="G37">
        <v>226.15600000000001</v>
      </c>
      <c r="H37">
        <v>232</v>
      </c>
      <c r="I37">
        <v>207</v>
      </c>
      <c r="J37">
        <v>292</v>
      </c>
      <c r="K37">
        <v>349</v>
      </c>
      <c r="L37">
        <v>250</v>
      </c>
      <c r="M37">
        <v>224</v>
      </c>
      <c r="N37">
        <v>272</v>
      </c>
      <c r="O37">
        <v>445</v>
      </c>
      <c r="P37">
        <v>301</v>
      </c>
      <c r="Q37">
        <v>385</v>
      </c>
      <c r="R37">
        <v>395</v>
      </c>
      <c r="S37">
        <v>403</v>
      </c>
      <c r="T37">
        <v>314</v>
      </c>
      <c r="U37">
        <v>314</v>
      </c>
      <c r="V37">
        <v>300</v>
      </c>
      <c r="W37">
        <v>306</v>
      </c>
      <c r="X37">
        <v>243</v>
      </c>
      <c r="Y37">
        <v>243</v>
      </c>
      <c r="Z37">
        <v>271</v>
      </c>
    </row>
    <row r="38" spans="1:26">
      <c r="A38" t="s">
        <v>660</v>
      </c>
      <c r="B38">
        <v>350</v>
      </c>
      <c r="C38">
        <v>450</v>
      </c>
      <c r="D38">
        <v>500</v>
      </c>
      <c r="E38">
        <v>500</v>
      </c>
      <c r="F38">
        <v>500</v>
      </c>
      <c r="G38">
        <v>500</v>
      </c>
      <c r="H38">
        <v>500</v>
      </c>
      <c r="I38">
        <v>500</v>
      </c>
      <c r="J38">
        <v>550</v>
      </c>
      <c r="K38">
        <v>550</v>
      </c>
      <c r="L38">
        <v>550</v>
      </c>
      <c r="M38">
        <v>550</v>
      </c>
      <c r="N38">
        <v>500</v>
      </c>
      <c r="O38">
        <v>200</v>
      </c>
    </row>
    <row r="39" spans="1:26">
      <c r="A39" t="s">
        <v>328</v>
      </c>
      <c r="B39">
        <v>1821</v>
      </c>
      <c r="C39">
        <v>1813</v>
      </c>
      <c r="D39">
        <v>1871</v>
      </c>
      <c r="E39">
        <v>2056</v>
      </c>
      <c r="F39">
        <v>2000</v>
      </c>
      <c r="G39">
        <v>1983</v>
      </c>
      <c r="H39">
        <v>1957</v>
      </c>
      <c r="I39">
        <v>1962</v>
      </c>
      <c r="J39">
        <v>2029</v>
      </c>
      <c r="K39">
        <v>2227</v>
      </c>
      <c r="L39">
        <v>2097</v>
      </c>
      <c r="M39">
        <v>1403</v>
      </c>
      <c r="N39">
        <v>1678</v>
      </c>
      <c r="O39">
        <v>1746</v>
      </c>
      <c r="P39">
        <v>1543</v>
      </c>
      <c r="Q39">
        <v>883</v>
      </c>
      <c r="R39">
        <v>1152</v>
      </c>
      <c r="S39">
        <v>1675</v>
      </c>
      <c r="T39">
        <v>1274</v>
      </c>
      <c r="U39">
        <v>1900</v>
      </c>
      <c r="V39">
        <v>1989</v>
      </c>
      <c r="W39">
        <v>1769</v>
      </c>
      <c r="X39">
        <v>1513</v>
      </c>
      <c r="Y39">
        <v>1513</v>
      </c>
      <c r="Z39">
        <v>857</v>
      </c>
    </row>
    <row r="40" spans="1:26">
      <c r="A40" t="s">
        <v>24</v>
      </c>
      <c r="B40">
        <v>23480</v>
      </c>
      <c r="C40">
        <v>24269</v>
      </c>
      <c r="D40">
        <v>26924</v>
      </c>
      <c r="E40">
        <v>27291</v>
      </c>
      <c r="F40">
        <v>28814</v>
      </c>
      <c r="G40">
        <v>31779</v>
      </c>
      <c r="H40">
        <v>32600</v>
      </c>
      <c r="I40">
        <v>45800</v>
      </c>
      <c r="J40">
        <v>49500</v>
      </c>
      <c r="K40">
        <v>53100</v>
      </c>
      <c r="L40">
        <v>57800</v>
      </c>
      <c r="M40">
        <v>63500</v>
      </c>
      <c r="N40">
        <v>68300</v>
      </c>
      <c r="O40">
        <v>73500</v>
      </c>
      <c r="P40">
        <v>77600</v>
      </c>
      <c r="Q40">
        <v>81299</v>
      </c>
      <c r="R40">
        <v>87292</v>
      </c>
      <c r="S40">
        <v>89026</v>
      </c>
      <c r="T40">
        <v>95477</v>
      </c>
      <c r="U40">
        <v>101400</v>
      </c>
      <c r="V40">
        <v>109272</v>
      </c>
      <c r="W40">
        <v>111351</v>
      </c>
      <c r="X40">
        <v>100256</v>
      </c>
      <c r="Y40">
        <v>100256</v>
      </c>
      <c r="Z40">
        <v>125337</v>
      </c>
    </row>
    <row r="41" spans="1:26">
      <c r="A41" t="s">
        <v>25</v>
      </c>
      <c r="C41">
        <v>2890</v>
      </c>
      <c r="D41">
        <v>3010</v>
      </c>
      <c r="E41">
        <v>2780</v>
      </c>
      <c r="F41">
        <v>3000</v>
      </c>
      <c r="G41">
        <v>2042</v>
      </c>
      <c r="H41">
        <v>2412</v>
      </c>
      <c r="I41">
        <v>3675</v>
      </c>
      <c r="J41">
        <v>3800</v>
      </c>
      <c r="K41">
        <v>3900</v>
      </c>
      <c r="L41">
        <v>3915</v>
      </c>
      <c r="M41">
        <v>3500</v>
      </c>
      <c r="N41">
        <v>3700</v>
      </c>
      <c r="O41">
        <v>3600</v>
      </c>
      <c r="P41">
        <v>3700</v>
      </c>
      <c r="Q41">
        <v>2644</v>
      </c>
      <c r="R41">
        <v>4428</v>
      </c>
      <c r="S41">
        <v>4854</v>
      </c>
      <c r="T41">
        <v>4746</v>
      </c>
      <c r="U41">
        <v>4800</v>
      </c>
      <c r="V41">
        <v>6183</v>
      </c>
      <c r="W41">
        <v>8565</v>
      </c>
      <c r="X41">
        <v>12871</v>
      </c>
      <c r="Y41">
        <v>12871</v>
      </c>
      <c r="Z41">
        <v>15570</v>
      </c>
    </row>
    <row r="42" spans="1:26">
      <c r="A42" t="s">
        <v>230</v>
      </c>
      <c r="B42">
        <v>5608</v>
      </c>
      <c r="C42">
        <v>6277</v>
      </c>
      <c r="D42">
        <v>6600</v>
      </c>
      <c r="E42">
        <v>6900</v>
      </c>
      <c r="F42">
        <v>7300</v>
      </c>
      <c r="G42">
        <v>7869</v>
      </c>
      <c r="H42">
        <v>8682</v>
      </c>
      <c r="I42">
        <v>9405</v>
      </c>
      <c r="J42">
        <v>9800</v>
      </c>
      <c r="K42">
        <v>10100</v>
      </c>
      <c r="L42">
        <v>9960</v>
      </c>
      <c r="M42">
        <v>10000</v>
      </c>
      <c r="N42">
        <v>12000</v>
      </c>
      <c r="O42">
        <v>13000</v>
      </c>
      <c r="P42">
        <v>14500</v>
      </c>
      <c r="Q42">
        <v>15422</v>
      </c>
      <c r="R42">
        <v>16331</v>
      </c>
      <c r="S42">
        <v>16146</v>
      </c>
      <c r="T42">
        <v>17895</v>
      </c>
      <c r="U42">
        <v>21200</v>
      </c>
      <c r="V42">
        <v>24520</v>
      </c>
      <c r="W42">
        <v>25609</v>
      </c>
      <c r="X42">
        <v>28990</v>
      </c>
      <c r="Y42">
        <v>28990</v>
      </c>
      <c r="Z42">
        <v>30433</v>
      </c>
    </row>
    <row r="43" spans="1:26">
      <c r="A43" t="s">
        <v>661</v>
      </c>
      <c r="B43">
        <v>50</v>
      </c>
      <c r="C43">
        <v>50</v>
      </c>
      <c r="D43">
        <v>50</v>
      </c>
      <c r="E43">
        <v>50</v>
      </c>
      <c r="F43">
        <v>25</v>
      </c>
    </row>
    <row r="44" spans="1:26">
      <c r="A44" t="s">
        <v>330</v>
      </c>
      <c r="B44">
        <v>358</v>
      </c>
      <c r="C44">
        <v>335</v>
      </c>
      <c r="D44">
        <v>375</v>
      </c>
      <c r="E44">
        <v>110</v>
      </c>
    </row>
    <row r="45" spans="1:26">
      <c r="A45" t="s">
        <v>663</v>
      </c>
      <c r="B45">
        <v>280</v>
      </c>
      <c r="C45">
        <v>280</v>
      </c>
      <c r="D45">
        <v>270</v>
      </c>
      <c r="E45">
        <v>220</v>
      </c>
      <c r="F45">
        <v>150</v>
      </c>
      <c r="G45">
        <v>180</v>
      </c>
      <c r="H45">
        <v>370</v>
      </c>
      <c r="I45">
        <v>480</v>
      </c>
      <c r="J45">
        <v>480</v>
      </c>
      <c r="K45">
        <v>480</v>
      </c>
      <c r="L45">
        <v>480</v>
      </c>
      <c r="M45">
        <v>380</v>
      </c>
      <c r="N45">
        <v>430</v>
      </c>
      <c r="O45">
        <v>430</v>
      </c>
      <c r="P45">
        <v>430</v>
      </c>
      <c r="Q45">
        <v>300</v>
      </c>
      <c r="R45">
        <v>300</v>
      </c>
      <c r="S45">
        <v>300</v>
      </c>
      <c r="T45">
        <v>300</v>
      </c>
      <c r="U45">
        <v>300</v>
      </c>
    </row>
    <row r="46" spans="1:26">
      <c r="A46" t="s">
        <v>272</v>
      </c>
      <c r="B46">
        <v>25798</v>
      </c>
      <c r="C46">
        <v>24964</v>
      </c>
      <c r="D46">
        <v>26544</v>
      </c>
      <c r="E46">
        <v>26483</v>
      </c>
      <c r="F46">
        <v>25930</v>
      </c>
      <c r="G46">
        <v>26832</v>
      </c>
      <c r="H46">
        <v>28317</v>
      </c>
      <c r="I46">
        <v>29061</v>
      </c>
      <c r="J46">
        <v>31550</v>
      </c>
      <c r="K46">
        <v>31990</v>
      </c>
      <c r="L46">
        <v>30477</v>
      </c>
      <c r="M46">
        <v>19737</v>
      </c>
      <c r="N46">
        <v>25751</v>
      </c>
      <c r="O46">
        <v>28700</v>
      </c>
      <c r="P46">
        <v>27227</v>
      </c>
      <c r="Q46">
        <v>23093</v>
      </c>
      <c r="R46">
        <v>23714</v>
      </c>
      <c r="S46">
        <v>22000</v>
      </c>
      <c r="T46">
        <v>23373</v>
      </c>
      <c r="U46">
        <v>24100</v>
      </c>
      <c r="V46">
        <v>24496</v>
      </c>
      <c r="W46">
        <v>23190</v>
      </c>
      <c r="X46">
        <v>20379</v>
      </c>
      <c r="Y46">
        <v>20379</v>
      </c>
      <c r="Z46">
        <v>21598</v>
      </c>
    </row>
    <row r="47" spans="1:26">
      <c r="A47" t="s">
        <v>26</v>
      </c>
      <c r="B47">
        <v>93547.99</v>
      </c>
      <c r="C47">
        <v>94192.4</v>
      </c>
      <c r="D47">
        <v>106444.46799999999</v>
      </c>
      <c r="E47">
        <v>102865.95</v>
      </c>
      <c r="F47">
        <v>107745.01</v>
      </c>
      <c r="G47">
        <v>110510.52</v>
      </c>
      <c r="H47">
        <v>112717.664</v>
      </c>
      <c r="I47">
        <v>112471.374</v>
      </c>
      <c r="J47">
        <v>116266</v>
      </c>
      <c r="K47">
        <v>120203</v>
      </c>
      <c r="L47">
        <v>118739</v>
      </c>
      <c r="M47">
        <v>87534</v>
      </c>
      <c r="N47">
        <v>109599</v>
      </c>
      <c r="O47">
        <v>107601</v>
      </c>
      <c r="P47">
        <v>107232</v>
      </c>
      <c r="Q47">
        <v>110595</v>
      </c>
      <c r="R47">
        <v>110666</v>
      </c>
      <c r="S47">
        <v>105134</v>
      </c>
      <c r="T47">
        <v>104775</v>
      </c>
      <c r="U47">
        <v>104700</v>
      </c>
      <c r="V47">
        <v>104319</v>
      </c>
      <c r="W47">
        <v>99284</v>
      </c>
      <c r="X47">
        <v>83186</v>
      </c>
      <c r="Y47">
        <v>83186</v>
      </c>
      <c r="Z47">
        <v>89227</v>
      </c>
    </row>
    <row r="48" spans="1:26">
      <c r="A48" t="s">
        <v>664</v>
      </c>
      <c r="B48">
        <v>30</v>
      </c>
      <c r="C48">
        <v>30</v>
      </c>
      <c r="D48">
        <v>30</v>
      </c>
      <c r="E48">
        <v>30</v>
      </c>
      <c r="F48">
        <v>30</v>
      </c>
      <c r="G48">
        <v>135</v>
      </c>
      <c r="H48">
        <v>140</v>
      </c>
      <c r="I48">
        <v>150</v>
      </c>
      <c r="J48">
        <v>150</v>
      </c>
      <c r="K48">
        <v>150</v>
      </c>
      <c r="L48">
        <v>150</v>
      </c>
      <c r="M48">
        <v>150</v>
      </c>
      <c r="N48">
        <v>150</v>
      </c>
      <c r="O48">
        <v>150</v>
      </c>
      <c r="P48">
        <v>100</v>
      </c>
      <c r="V48">
        <v>350</v>
      </c>
      <c r="W48">
        <v>350</v>
      </c>
      <c r="X48">
        <v>350</v>
      </c>
      <c r="Y48">
        <v>350</v>
      </c>
      <c r="Z48">
        <v>350</v>
      </c>
    </row>
    <row r="49" spans="1:26">
      <c r="A49" t="s">
        <v>28</v>
      </c>
      <c r="B49">
        <v>3089</v>
      </c>
      <c r="C49">
        <v>4116</v>
      </c>
      <c r="D49">
        <v>4770</v>
      </c>
      <c r="E49">
        <v>4691</v>
      </c>
      <c r="F49">
        <v>4868.2</v>
      </c>
      <c r="G49">
        <v>5069.4009999999998</v>
      </c>
      <c r="H49">
        <v>5371.6980000000003</v>
      </c>
      <c r="I49">
        <v>4476.6419999999998</v>
      </c>
      <c r="J49">
        <v>4244.5209999999997</v>
      </c>
      <c r="K49">
        <v>4784.1049999999996</v>
      </c>
      <c r="L49">
        <v>4243.5820000000003</v>
      </c>
      <c r="M49">
        <v>3324</v>
      </c>
      <c r="N49">
        <v>3338</v>
      </c>
      <c r="O49">
        <v>3699</v>
      </c>
      <c r="P49">
        <v>2606.5</v>
      </c>
      <c r="Q49">
        <v>2738</v>
      </c>
      <c r="R49">
        <v>2909</v>
      </c>
      <c r="S49">
        <v>2948</v>
      </c>
      <c r="T49">
        <v>4236</v>
      </c>
      <c r="U49">
        <v>4500</v>
      </c>
      <c r="V49">
        <v>4006</v>
      </c>
      <c r="W49">
        <v>4131</v>
      </c>
      <c r="X49">
        <v>4009</v>
      </c>
      <c r="Y49">
        <v>4009</v>
      </c>
      <c r="Z49">
        <v>4150</v>
      </c>
    </row>
    <row r="50" spans="1:26">
      <c r="A50" t="s">
        <v>29</v>
      </c>
      <c r="B50">
        <v>25</v>
      </c>
      <c r="L50">
        <v>240</v>
      </c>
      <c r="M50">
        <v>260</v>
      </c>
      <c r="N50">
        <v>260</v>
      </c>
      <c r="O50">
        <v>290</v>
      </c>
      <c r="P50">
        <v>290</v>
      </c>
      <c r="Q50">
        <v>360</v>
      </c>
      <c r="R50">
        <v>370</v>
      </c>
      <c r="S50">
        <v>360</v>
      </c>
      <c r="T50">
        <v>410</v>
      </c>
      <c r="U50">
        <v>430</v>
      </c>
      <c r="V50">
        <v>460</v>
      </c>
      <c r="W50">
        <v>470</v>
      </c>
      <c r="X50">
        <v>450</v>
      </c>
      <c r="Y50">
        <v>450</v>
      </c>
      <c r="Z50">
        <v>450</v>
      </c>
    </row>
    <row r="51" spans="1:26">
      <c r="A51" t="s">
        <v>231</v>
      </c>
      <c r="B51">
        <v>1000</v>
      </c>
      <c r="C51">
        <v>1000</v>
      </c>
      <c r="D51">
        <v>1000</v>
      </c>
      <c r="E51">
        <v>1000</v>
      </c>
      <c r="F51">
        <v>1000</v>
      </c>
      <c r="G51">
        <v>1090</v>
      </c>
      <c r="H51">
        <v>1070</v>
      </c>
      <c r="I51">
        <v>1070</v>
      </c>
      <c r="J51">
        <v>1180</v>
      </c>
      <c r="K51">
        <v>1230</v>
      </c>
      <c r="L51">
        <v>1279</v>
      </c>
      <c r="M51">
        <v>1300</v>
      </c>
      <c r="N51">
        <v>1300</v>
      </c>
      <c r="O51">
        <v>1300</v>
      </c>
      <c r="P51">
        <v>1300</v>
      </c>
      <c r="Q51">
        <v>1210</v>
      </c>
      <c r="R51">
        <v>1220</v>
      </c>
      <c r="S51">
        <v>1079</v>
      </c>
      <c r="T51">
        <v>1250</v>
      </c>
      <c r="U51">
        <v>1300</v>
      </c>
      <c r="V51">
        <v>810</v>
      </c>
      <c r="W51">
        <v>680</v>
      </c>
      <c r="X51">
        <v>707</v>
      </c>
      <c r="Y51">
        <v>707</v>
      </c>
      <c r="Z51">
        <v>289</v>
      </c>
    </row>
    <row r="52" spans="1:26">
      <c r="A52" t="s">
        <v>31</v>
      </c>
      <c r="B52">
        <v>39896</v>
      </c>
      <c r="C52">
        <v>41042</v>
      </c>
      <c r="D52">
        <v>43107</v>
      </c>
      <c r="E52">
        <v>43852</v>
      </c>
      <c r="F52">
        <v>45390</v>
      </c>
      <c r="G52">
        <v>46309.629000000001</v>
      </c>
      <c r="H52">
        <v>47520.870999999999</v>
      </c>
      <c r="I52">
        <v>47820.036999999997</v>
      </c>
      <c r="J52">
        <v>48455.453999999998</v>
      </c>
      <c r="K52">
        <v>51517.309000000001</v>
      </c>
      <c r="L52">
        <v>53322</v>
      </c>
      <c r="M52">
        <v>48752</v>
      </c>
      <c r="N52">
        <v>58914.125</v>
      </c>
      <c r="O52">
        <v>68519.191000000006</v>
      </c>
      <c r="P52">
        <v>70000</v>
      </c>
      <c r="Q52">
        <v>66061</v>
      </c>
      <c r="R52">
        <v>71542</v>
      </c>
      <c r="S52">
        <v>69670</v>
      </c>
      <c r="T52">
        <v>68576</v>
      </c>
      <c r="U52">
        <v>71000</v>
      </c>
      <c r="V52">
        <v>72463</v>
      </c>
      <c r="W52">
        <v>71411</v>
      </c>
      <c r="X52">
        <v>67098</v>
      </c>
      <c r="Y52">
        <v>67098</v>
      </c>
      <c r="Z52">
        <v>65856</v>
      </c>
    </row>
    <row r="53" spans="1:26">
      <c r="A53" t="s">
        <v>333</v>
      </c>
      <c r="B53">
        <v>468.5</v>
      </c>
      <c r="C53">
        <v>483.74400000000003</v>
      </c>
      <c r="D53">
        <v>500.29199999999997</v>
      </c>
      <c r="E53">
        <v>510</v>
      </c>
      <c r="F53">
        <v>505</v>
      </c>
      <c r="G53">
        <v>545.62599999999998</v>
      </c>
      <c r="H53">
        <v>553.68399999999997</v>
      </c>
      <c r="I53">
        <v>550</v>
      </c>
      <c r="J53">
        <v>550</v>
      </c>
      <c r="K53">
        <v>550</v>
      </c>
      <c r="L53">
        <v>635</v>
      </c>
      <c r="M53">
        <v>692</v>
      </c>
      <c r="N53">
        <v>655</v>
      </c>
      <c r="O53">
        <v>515</v>
      </c>
      <c r="P53">
        <v>800</v>
      </c>
      <c r="Q53">
        <v>198</v>
      </c>
    </row>
    <row r="54" spans="1:26">
      <c r="A54" t="s">
        <v>334</v>
      </c>
      <c r="B54">
        <v>925</v>
      </c>
      <c r="C54">
        <v>945</v>
      </c>
      <c r="D54">
        <v>1055</v>
      </c>
      <c r="E54">
        <v>846</v>
      </c>
      <c r="F54">
        <v>1000</v>
      </c>
      <c r="G54">
        <v>1007</v>
      </c>
      <c r="H54">
        <v>1026</v>
      </c>
      <c r="I54">
        <v>1260</v>
      </c>
      <c r="J54">
        <v>1151</v>
      </c>
      <c r="K54">
        <v>1250</v>
      </c>
      <c r="L54">
        <v>1137</v>
      </c>
      <c r="M54">
        <v>914</v>
      </c>
      <c r="N54">
        <v>825</v>
      </c>
      <c r="O54">
        <v>100</v>
      </c>
      <c r="P54">
        <v>300</v>
      </c>
      <c r="Q54">
        <v>712</v>
      </c>
      <c r="R54">
        <v>712</v>
      </c>
      <c r="S54">
        <v>352</v>
      </c>
      <c r="T54">
        <v>492</v>
      </c>
      <c r="U54">
        <v>600</v>
      </c>
      <c r="V54">
        <v>396</v>
      </c>
      <c r="W54">
        <v>606</v>
      </c>
      <c r="X54">
        <v>495</v>
      </c>
      <c r="Y54">
        <v>495</v>
      </c>
      <c r="Z54">
        <v>688</v>
      </c>
    </row>
    <row r="55" spans="1:26">
      <c r="A55" t="s">
        <v>335</v>
      </c>
      <c r="B55">
        <v>2592</v>
      </c>
      <c r="C55">
        <v>2477</v>
      </c>
      <c r="D55">
        <v>2571</v>
      </c>
      <c r="E55">
        <v>2725</v>
      </c>
      <c r="F55">
        <v>2736</v>
      </c>
      <c r="G55">
        <v>2675</v>
      </c>
      <c r="H55">
        <v>2684</v>
      </c>
      <c r="I55">
        <v>2194</v>
      </c>
      <c r="J55">
        <v>2802</v>
      </c>
      <c r="K55">
        <v>2800</v>
      </c>
      <c r="L55">
        <v>2582</v>
      </c>
      <c r="M55">
        <v>2215</v>
      </c>
      <c r="N55">
        <v>2563</v>
      </c>
      <c r="O55">
        <v>2521</v>
      </c>
      <c r="P55">
        <v>2232</v>
      </c>
      <c r="Q55">
        <v>2090</v>
      </c>
      <c r="R55">
        <v>2193</v>
      </c>
      <c r="S55">
        <v>2127</v>
      </c>
      <c r="T55">
        <v>2175</v>
      </c>
      <c r="U55">
        <v>2172</v>
      </c>
      <c r="V55">
        <v>2228</v>
      </c>
      <c r="W55">
        <v>2119</v>
      </c>
      <c r="X55">
        <v>1886</v>
      </c>
      <c r="Y55">
        <v>1886</v>
      </c>
      <c r="Z55">
        <v>1875</v>
      </c>
    </row>
    <row r="56" spans="1:26">
      <c r="A56" t="s">
        <v>625</v>
      </c>
      <c r="B56">
        <v>49</v>
      </c>
      <c r="C56">
        <v>49</v>
      </c>
      <c r="D56">
        <v>50</v>
      </c>
      <c r="E56">
        <v>50</v>
      </c>
      <c r="F56">
        <v>50</v>
      </c>
      <c r="G56">
        <v>291.35399999999998</v>
      </c>
      <c r="H56">
        <v>315</v>
      </c>
      <c r="I56">
        <v>321.17</v>
      </c>
      <c r="J56">
        <v>326.48399999999998</v>
      </c>
      <c r="K56">
        <v>359</v>
      </c>
      <c r="L56">
        <v>252.46100000000001</v>
      </c>
      <c r="M56">
        <v>276.21499999999997</v>
      </c>
      <c r="N56">
        <v>291</v>
      </c>
      <c r="O56">
        <v>386</v>
      </c>
      <c r="P56">
        <v>217</v>
      </c>
      <c r="Q56">
        <v>146</v>
      </c>
      <c r="R56">
        <v>196</v>
      </c>
      <c r="S56">
        <v>165</v>
      </c>
      <c r="T56">
        <v>239</v>
      </c>
      <c r="U56">
        <v>238</v>
      </c>
      <c r="V56">
        <v>265</v>
      </c>
      <c r="W56">
        <v>239</v>
      </c>
      <c r="X56">
        <v>180</v>
      </c>
      <c r="Y56">
        <v>180</v>
      </c>
      <c r="Z56">
        <v>315</v>
      </c>
    </row>
    <row r="57" spans="1:26">
      <c r="A57" t="s">
        <v>32</v>
      </c>
      <c r="B57">
        <v>1902.7090000000001</v>
      </c>
      <c r="C57">
        <v>2770</v>
      </c>
      <c r="D57">
        <v>3650</v>
      </c>
      <c r="E57">
        <v>4100</v>
      </c>
      <c r="F57">
        <v>4200</v>
      </c>
      <c r="G57">
        <v>3960</v>
      </c>
      <c r="H57">
        <v>5698</v>
      </c>
      <c r="I57">
        <v>5296</v>
      </c>
      <c r="J57">
        <v>5834</v>
      </c>
      <c r="K57">
        <v>6000</v>
      </c>
      <c r="L57">
        <v>6423</v>
      </c>
      <c r="M57">
        <v>5354</v>
      </c>
      <c r="N57">
        <v>5693</v>
      </c>
      <c r="O57">
        <v>5941</v>
      </c>
      <c r="P57">
        <v>6000</v>
      </c>
      <c r="Q57">
        <v>4693</v>
      </c>
      <c r="R57">
        <v>4316</v>
      </c>
      <c r="S57">
        <v>3784</v>
      </c>
      <c r="T57">
        <v>2764</v>
      </c>
      <c r="U57">
        <v>2800</v>
      </c>
      <c r="V57">
        <v>4108</v>
      </c>
      <c r="W57">
        <v>6948</v>
      </c>
      <c r="X57">
        <v>6619</v>
      </c>
      <c r="Y57">
        <v>6619</v>
      </c>
      <c r="Z57">
        <v>10000</v>
      </c>
    </row>
    <row r="58" spans="1:26">
      <c r="A58" t="s">
        <v>33</v>
      </c>
      <c r="G58">
        <v>5</v>
      </c>
      <c r="H58">
        <v>5</v>
      </c>
      <c r="I58">
        <v>1.2629999999999999</v>
      </c>
      <c r="J58">
        <v>1.0649999999999999</v>
      </c>
      <c r="K58">
        <v>1.1000000000000001</v>
      </c>
      <c r="L58">
        <v>1.5980000000000001</v>
      </c>
      <c r="M58">
        <v>1.5</v>
      </c>
      <c r="N58">
        <v>1.5</v>
      </c>
      <c r="O58">
        <v>1.5</v>
      </c>
      <c r="P58">
        <v>1.5</v>
      </c>
      <c r="Q58">
        <v>5</v>
      </c>
      <c r="R58">
        <v>5</v>
      </c>
      <c r="S58">
        <v>5</v>
      </c>
      <c r="T58">
        <v>5</v>
      </c>
      <c r="U58">
        <v>5</v>
      </c>
      <c r="V58">
        <v>5</v>
      </c>
      <c r="W58">
        <v>5</v>
      </c>
      <c r="X58">
        <v>5</v>
      </c>
      <c r="Y58">
        <v>5</v>
      </c>
      <c r="Z58">
        <v>5</v>
      </c>
    </row>
    <row r="59" spans="1:26">
      <c r="A59" t="s">
        <v>234</v>
      </c>
      <c r="B59">
        <v>14181.684999999999</v>
      </c>
      <c r="C59">
        <v>15242.736999999999</v>
      </c>
      <c r="D59">
        <v>15586.210999999999</v>
      </c>
      <c r="E59">
        <v>13291.906000000001</v>
      </c>
      <c r="F59">
        <v>14050.5</v>
      </c>
      <c r="G59">
        <v>15159</v>
      </c>
      <c r="H59">
        <v>16737</v>
      </c>
      <c r="I59">
        <v>16202</v>
      </c>
      <c r="J59">
        <v>16313</v>
      </c>
      <c r="K59">
        <v>16300</v>
      </c>
      <c r="L59">
        <v>17209</v>
      </c>
      <c r="M59">
        <v>14172</v>
      </c>
      <c r="N59">
        <v>17041</v>
      </c>
      <c r="O59">
        <v>18100</v>
      </c>
      <c r="P59">
        <v>18178</v>
      </c>
      <c r="Q59">
        <v>18242</v>
      </c>
      <c r="R59">
        <v>18930</v>
      </c>
      <c r="S59">
        <v>18200</v>
      </c>
      <c r="T59">
        <v>18809</v>
      </c>
      <c r="U59">
        <v>19900</v>
      </c>
      <c r="V59">
        <v>20204</v>
      </c>
      <c r="W59">
        <v>18387</v>
      </c>
      <c r="X59">
        <v>16803</v>
      </c>
      <c r="Y59">
        <v>16803</v>
      </c>
      <c r="Z59">
        <v>18386</v>
      </c>
    </row>
    <row r="60" spans="1:26">
      <c r="A60" t="s">
        <v>337</v>
      </c>
      <c r="B60">
        <v>718</v>
      </c>
      <c r="C60">
        <v>796</v>
      </c>
      <c r="D60">
        <v>909</v>
      </c>
      <c r="E60">
        <v>966</v>
      </c>
      <c r="F60">
        <v>900</v>
      </c>
      <c r="G60">
        <v>886</v>
      </c>
      <c r="H60">
        <v>1012.6</v>
      </c>
      <c r="I60">
        <v>1016</v>
      </c>
      <c r="J60">
        <v>675.4</v>
      </c>
      <c r="K60">
        <v>995</v>
      </c>
      <c r="L60">
        <v>885</v>
      </c>
      <c r="M60">
        <v>425.9</v>
      </c>
      <c r="N60">
        <v>241.5</v>
      </c>
      <c r="O60">
        <v>320.60000000000002</v>
      </c>
      <c r="P60">
        <v>316.68200000000002</v>
      </c>
      <c r="Q60">
        <v>190</v>
      </c>
      <c r="R60">
        <v>344</v>
      </c>
      <c r="S60">
        <v>430</v>
      </c>
      <c r="T60">
        <v>128</v>
      </c>
      <c r="U60">
        <v>469</v>
      </c>
      <c r="V60">
        <v>503</v>
      </c>
      <c r="W60">
        <v>392</v>
      </c>
      <c r="X60">
        <v>465</v>
      </c>
      <c r="Y60">
        <v>465</v>
      </c>
      <c r="Z60">
        <v>560</v>
      </c>
    </row>
    <row r="61" spans="1:26">
      <c r="A61" t="s">
        <v>102</v>
      </c>
      <c r="T61">
        <v>50</v>
      </c>
      <c r="U61">
        <v>50</v>
      </c>
      <c r="V61">
        <v>29</v>
      </c>
      <c r="W61">
        <v>28</v>
      </c>
      <c r="X61">
        <v>15</v>
      </c>
      <c r="Y61">
        <v>15</v>
      </c>
      <c r="Z61">
        <v>25</v>
      </c>
    </row>
    <row r="62" spans="1:26">
      <c r="A62" t="s">
        <v>438</v>
      </c>
      <c r="J62">
        <v>49.978000000000002</v>
      </c>
      <c r="K62">
        <v>174</v>
      </c>
      <c r="L62">
        <v>201.62299999999999</v>
      </c>
      <c r="M62">
        <v>90.403999999999996</v>
      </c>
      <c r="N62">
        <v>95</v>
      </c>
      <c r="O62">
        <v>42.271000000000001</v>
      </c>
      <c r="P62">
        <v>100</v>
      </c>
      <c r="Q62">
        <v>70</v>
      </c>
      <c r="R62">
        <v>140</v>
      </c>
      <c r="S62">
        <v>150</v>
      </c>
      <c r="T62">
        <v>120</v>
      </c>
      <c r="U62">
        <v>120</v>
      </c>
      <c r="V62">
        <v>80</v>
      </c>
      <c r="W62">
        <v>50</v>
      </c>
      <c r="X62">
        <v>20</v>
      </c>
      <c r="Y62">
        <v>20</v>
      </c>
      <c r="Z62">
        <v>5</v>
      </c>
    </row>
    <row r="63" spans="1:26">
      <c r="A63" t="s">
        <v>34</v>
      </c>
      <c r="B63">
        <v>5</v>
      </c>
      <c r="C63">
        <v>5</v>
      </c>
      <c r="D63">
        <v>5</v>
      </c>
      <c r="E63">
        <v>5</v>
      </c>
      <c r="F63">
        <v>5</v>
      </c>
      <c r="G63">
        <v>5</v>
      </c>
      <c r="H63">
        <v>5</v>
      </c>
      <c r="I63">
        <v>205</v>
      </c>
      <c r="J63">
        <v>314</v>
      </c>
      <c r="K63">
        <v>314</v>
      </c>
      <c r="L63">
        <v>478</v>
      </c>
      <c r="M63">
        <v>479</v>
      </c>
      <c r="N63">
        <v>455</v>
      </c>
      <c r="O63">
        <v>460</v>
      </c>
      <c r="P63">
        <v>475</v>
      </c>
      <c r="Q63">
        <v>558</v>
      </c>
      <c r="R63">
        <v>500</v>
      </c>
      <c r="S63">
        <v>516</v>
      </c>
      <c r="T63">
        <v>520</v>
      </c>
      <c r="U63">
        <v>520</v>
      </c>
      <c r="V63">
        <v>520</v>
      </c>
      <c r="W63">
        <v>500</v>
      </c>
      <c r="X63">
        <v>480</v>
      </c>
      <c r="Y63">
        <v>480</v>
      </c>
      <c r="Z63">
        <v>450</v>
      </c>
    </row>
    <row r="64" spans="1:26">
      <c r="A64" t="s">
        <v>339</v>
      </c>
      <c r="B64">
        <v>6379</v>
      </c>
      <c r="C64">
        <v>6075</v>
      </c>
      <c r="D64">
        <v>5667</v>
      </c>
      <c r="E64">
        <v>6037</v>
      </c>
      <c r="F64">
        <v>6144</v>
      </c>
      <c r="G64">
        <v>6571</v>
      </c>
      <c r="H64">
        <v>6848</v>
      </c>
      <c r="I64">
        <v>6919</v>
      </c>
      <c r="J64">
        <v>6372</v>
      </c>
      <c r="K64">
        <v>6400</v>
      </c>
      <c r="L64">
        <v>6853</v>
      </c>
      <c r="M64">
        <v>5194</v>
      </c>
      <c r="N64">
        <v>6651</v>
      </c>
      <c r="O64">
        <v>6900</v>
      </c>
      <c r="P64">
        <v>6867</v>
      </c>
      <c r="Q64">
        <v>6713</v>
      </c>
      <c r="R64">
        <v>6964</v>
      </c>
      <c r="S64">
        <v>6995</v>
      </c>
      <c r="T64">
        <v>6917</v>
      </c>
      <c r="U64">
        <v>6800</v>
      </c>
      <c r="V64">
        <v>6813</v>
      </c>
      <c r="W64">
        <v>6657</v>
      </c>
      <c r="X64">
        <v>6054</v>
      </c>
      <c r="Y64">
        <v>6054</v>
      </c>
      <c r="Z64">
        <v>6143</v>
      </c>
    </row>
    <row r="65" spans="1:26">
      <c r="A65" t="s">
        <v>277</v>
      </c>
      <c r="B65">
        <v>756</v>
      </c>
      <c r="C65">
        <v>744</v>
      </c>
      <c r="D65">
        <v>765</v>
      </c>
      <c r="E65">
        <v>770</v>
      </c>
      <c r="F65">
        <v>750</v>
      </c>
      <c r="G65">
        <v>750</v>
      </c>
      <c r="H65">
        <v>850</v>
      </c>
      <c r="I65">
        <v>889</v>
      </c>
      <c r="J65">
        <v>862</v>
      </c>
      <c r="K65">
        <v>845</v>
      </c>
      <c r="L65">
        <v>853</v>
      </c>
      <c r="M65">
        <v>765</v>
      </c>
      <c r="N65">
        <v>853</v>
      </c>
      <c r="O65">
        <v>844</v>
      </c>
      <c r="P65">
        <v>912</v>
      </c>
      <c r="Q65">
        <v>900</v>
      </c>
      <c r="R65">
        <v>859</v>
      </c>
      <c r="S65">
        <v>793</v>
      </c>
      <c r="T65">
        <v>577</v>
      </c>
      <c r="U65">
        <v>577</v>
      </c>
      <c r="V65">
        <v>652</v>
      </c>
      <c r="W65">
        <v>667</v>
      </c>
      <c r="X65">
        <v>586</v>
      </c>
      <c r="Y65">
        <v>586</v>
      </c>
      <c r="Z65">
        <v>570</v>
      </c>
    </row>
    <row r="66" spans="1:26">
      <c r="A66" t="s">
        <v>235</v>
      </c>
      <c r="B66">
        <v>2</v>
      </c>
      <c r="T66">
        <v>100</v>
      </c>
      <c r="U66">
        <v>100</v>
      </c>
      <c r="V66">
        <v>620</v>
      </c>
      <c r="W66">
        <v>610</v>
      </c>
      <c r="X66">
        <v>590</v>
      </c>
      <c r="Y66">
        <v>590</v>
      </c>
      <c r="Z66">
        <v>650</v>
      </c>
    </row>
    <row r="67" spans="1:26">
      <c r="A67" t="s">
        <v>35</v>
      </c>
      <c r="B67">
        <v>644</v>
      </c>
      <c r="C67">
        <v>611</v>
      </c>
      <c r="D67">
        <v>620</v>
      </c>
      <c r="E67">
        <v>635</v>
      </c>
      <c r="F67">
        <v>694</v>
      </c>
      <c r="G67">
        <v>698</v>
      </c>
      <c r="H67">
        <v>695</v>
      </c>
      <c r="I67">
        <v>701</v>
      </c>
      <c r="J67">
        <v>679</v>
      </c>
      <c r="K67">
        <v>680</v>
      </c>
      <c r="L67">
        <v>560</v>
      </c>
      <c r="M67">
        <v>579</v>
      </c>
      <c r="N67">
        <v>514</v>
      </c>
      <c r="O67">
        <v>620</v>
      </c>
      <c r="P67">
        <v>590</v>
      </c>
      <c r="Q67">
        <v>605</v>
      </c>
      <c r="R67">
        <v>600</v>
      </c>
      <c r="S67">
        <v>590</v>
      </c>
      <c r="T67">
        <v>620</v>
      </c>
      <c r="U67">
        <v>620</v>
      </c>
      <c r="V67">
        <v>575</v>
      </c>
      <c r="W67">
        <v>621</v>
      </c>
      <c r="X67">
        <v>624</v>
      </c>
      <c r="Y67">
        <v>624</v>
      </c>
      <c r="Z67">
        <v>704</v>
      </c>
    </row>
    <row r="68" spans="1:26">
      <c r="A68" t="s">
        <v>666</v>
      </c>
      <c r="Q68">
        <v>500</v>
      </c>
      <c r="R68">
        <v>1500</v>
      </c>
      <c r="S68">
        <v>2000</v>
      </c>
      <c r="T68">
        <v>2000</v>
      </c>
      <c r="U68">
        <v>2000</v>
      </c>
      <c r="V68">
        <v>2000</v>
      </c>
      <c r="W68">
        <v>2100</v>
      </c>
      <c r="X68">
        <v>2500</v>
      </c>
      <c r="Y68">
        <v>2500</v>
      </c>
      <c r="Z68">
        <v>3000</v>
      </c>
    </row>
    <row r="69" spans="1:26">
      <c r="A69" t="s">
        <v>236</v>
      </c>
      <c r="B69">
        <v>494</v>
      </c>
      <c r="C69">
        <v>500</v>
      </c>
      <c r="D69">
        <v>500</v>
      </c>
      <c r="E69">
        <v>500</v>
      </c>
      <c r="F69">
        <v>500</v>
      </c>
      <c r="G69">
        <v>1000</v>
      </c>
      <c r="H69">
        <v>1145</v>
      </c>
      <c r="I69">
        <v>825</v>
      </c>
      <c r="J69">
        <v>1040</v>
      </c>
      <c r="K69">
        <v>1090</v>
      </c>
      <c r="L69">
        <v>1100</v>
      </c>
      <c r="M69">
        <v>1100</v>
      </c>
      <c r="N69">
        <v>1100</v>
      </c>
      <c r="O69">
        <v>1200</v>
      </c>
      <c r="P69">
        <v>1200</v>
      </c>
      <c r="Q69">
        <v>1845</v>
      </c>
      <c r="R69">
        <v>2423</v>
      </c>
      <c r="S69">
        <v>2892</v>
      </c>
      <c r="T69">
        <v>3553</v>
      </c>
      <c r="U69">
        <v>5000</v>
      </c>
      <c r="V69">
        <v>4719</v>
      </c>
      <c r="W69">
        <v>3304</v>
      </c>
      <c r="X69">
        <v>3803</v>
      </c>
      <c r="Y69">
        <v>3803</v>
      </c>
      <c r="Z69">
        <v>6013</v>
      </c>
    </row>
    <row r="70" spans="1:26">
      <c r="A70" t="s">
        <v>280</v>
      </c>
      <c r="B70">
        <v>56.243000000000002</v>
      </c>
      <c r="C70">
        <v>55.689</v>
      </c>
      <c r="D70">
        <v>76.784000000000006</v>
      </c>
      <c r="E70">
        <v>70.7</v>
      </c>
      <c r="F70">
        <v>80.099999999999994</v>
      </c>
      <c r="G70">
        <v>91</v>
      </c>
      <c r="H70">
        <v>107</v>
      </c>
      <c r="I70">
        <v>101</v>
      </c>
      <c r="J70">
        <v>115</v>
      </c>
      <c r="K70">
        <v>105</v>
      </c>
      <c r="L70">
        <v>129.6</v>
      </c>
      <c r="M70">
        <v>130</v>
      </c>
      <c r="N70">
        <v>59</v>
      </c>
      <c r="O70">
        <v>30</v>
      </c>
      <c r="P70">
        <v>44</v>
      </c>
      <c r="Q70">
        <v>45</v>
      </c>
      <c r="R70">
        <v>47</v>
      </c>
      <c r="S70">
        <v>48</v>
      </c>
      <c r="T70">
        <v>35</v>
      </c>
      <c r="U70">
        <v>24</v>
      </c>
      <c r="V70">
        <v>25</v>
      </c>
      <c r="W70">
        <v>26</v>
      </c>
      <c r="X70">
        <v>23</v>
      </c>
      <c r="Y70">
        <v>23</v>
      </c>
      <c r="Z70">
        <v>24</v>
      </c>
    </row>
    <row r="71" spans="1:26">
      <c r="A71" t="s">
        <v>36</v>
      </c>
      <c r="B71">
        <v>630.68700000000001</v>
      </c>
      <c r="C71">
        <v>558.697</v>
      </c>
      <c r="D71">
        <v>749.08199999999999</v>
      </c>
      <c r="E71">
        <v>750</v>
      </c>
      <c r="F71">
        <v>750</v>
      </c>
      <c r="G71">
        <v>669</v>
      </c>
      <c r="H71">
        <v>725</v>
      </c>
      <c r="I71">
        <v>790</v>
      </c>
      <c r="J71">
        <v>896</v>
      </c>
      <c r="K71">
        <v>750</v>
      </c>
      <c r="L71">
        <v>750</v>
      </c>
      <c r="M71">
        <v>750</v>
      </c>
      <c r="N71">
        <v>750</v>
      </c>
      <c r="O71">
        <v>750</v>
      </c>
      <c r="P71">
        <v>750</v>
      </c>
      <c r="Q71">
        <v>1069</v>
      </c>
      <c r="R71">
        <v>1078</v>
      </c>
      <c r="S71">
        <v>1082</v>
      </c>
      <c r="T71">
        <v>1168</v>
      </c>
      <c r="U71">
        <v>1207</v>
      </c>
      <c r="V71">
        <v>1217</v>
      </c>
      <c r="W71">
        <v>1230</v>
      </c>
      <c r="X71">
        <v>731</v>
      </c>
      <c r="Y71">
        <v>731</v>
      </c>
      <c r="Z71">
        <v>1102</v>
      </c>
    </row>
    <row r="72" spans="1:26">
      <c r="A72" t="s">
        <v>237</v>
      </c>
      <c r="B72">
        <v>880</v>
      </c>
      <c r="C72">
        <v>530</v>
      </c>
      <c r="D72">
        <v>530</v>
      </c>
      <c r="E72">
        <v>530</v>
      </c>
      <c r="F72">
        <v>530</v>
      </c>
      <c r="G72">
        <v>500</v>
      </c>
      <c r="H72">
        <v>400</v>
      </c>
      <c r="I72">
        <v>470</v>
      </c>
      <c r="J72">
        <v>558</v>
      </c>
      <c r="K72">
        <v>590</v>
      </c>
      <c r="L72">
        <v>711</v>
      </c>
      <c r="M72">
        <v>824</v>
      </c>
      <c r="N72">
        <v>1050</v>
      </c>
      <c r="O72">
        <v>1200</v>
      </c>
      <c r="P72">
        <v>1200</v>
      </c>
      <c r="Q72">
        <v>1308</v>
      </c>
      <c r="R72">
        <v>1196</v>
      </c>
      <c r="S72">
        <v>968</v>
      </c>
      <c r="T72">
        <v>1075</v>
      </c>
      <c r="U72">
        <v>1080</v>
      </c>
      <c r="V72">
        <v>1475</v>
      </c>
      <c r="W72">
        <v>1915</v>
      </c>
      <c r="X72">
        <v>892</v>
      </c>
      <c r="Y72">
        <v>892</v>
      </c>
      <c r="Z72">
        <v>1550</v>
      </c>
    </row>
    <row r="73" spans="1:26">
      <c r="A73" t="s">
        <v>281</v>
      </c>
      <c r="B73">
        <v>9915</v>
      </c>
      <c r="C73">
        <v>8853.2109999999993</v>
      </c>
      <c r="D73">
        <v>10498.2</v>
      </c>
      <c r="E73">
        <v>8809.2000000000007</v>
      </c>
      <c r="F73">
        <v>8369</v>
      </c>
      <c r="G73">
        <v>9107</v>
      </c>
      <c r="H73">
        <v>10578</v>
      </c>
      <c r="I73">
        <v>8336</v>
      </c>
      <c r="J73">
        <v>9991.6380000000008</v>
      </c>
      <c r="K73">
        <v>10630.716</v>
      </c>
      <c r="L73">
        <v>9727</v>
      </c>
      <c r="M73">
        <v>7128</v>
      </c>
      <c r="N73">
        <v>7996</v>
      </c>
      <c r="O73">
        <v>8777</v>
      </c>
      <c r="P73">
        <v>8366</v>
      </c>
      <c r="Q73">
        <v>8199</v>
      </c>
      <c r="R73">
        <v>8800</v>
      </c>
      <c r="S73">
        <v>9337</v>
      </c>
      <c r="T73">
        <v>9001</v>
      </c>
      <c r="U73">
        <v>10300</v>
      </c>
      <c r="V73">
        <v>10336</v>
      </c>
      <c r="W73">
        <v>9122</v>
      </c>
      <c r="X73">
        <v>7958</v>
      </c>
      <c r="Y73">
        <v>7958</v>
      </c>
      <c r="Z73">
        <v>7407</v>
      </c>
    </row>
    <row r="74" spans="1:26">
      <c r="A74" t="s">
        <v>340</v>
      </c>
      <c r="B74">
        <v>854</v>
      </c>
      <c r="C74">
        <v>1044</v>
      </c>
      <c r="D74">
        <v>1060</v>
      </c>
      <c r="E74">
        <v>728</v>
      </c>
      <c r="F74">
        <v>800</v>
      </c>
      <c r="G74">
        <v>730</v>
      </c>
      <c r="H74">
        <v>730</v>
      </c>
      <c r="I74">
        <v>1400</v>
      </c>
      <c r="J74">
        <v>1400</v>
      </c>
      <c r="K74">
        <v>1400</v>
      </c>
      <c r="L74">
        <v>1630</v>
      </c>
      <c r="M74">
        <v>1587</v>
      </c>
      <c r="N74">
        <v>1351</v>
      </c>
      <c r="O74">
        <v>1400</v>
      </c>
      <c r="P74">
        <v>1400</v>
      </c>
      <c r="Q74">
        <v>2050</v>
      </c>
      <c r="R74">
        <v>2070</v>
      </c>
      <c r="S74">
        <v>2030</v>
      </c>
      <c r="T74">
        <v>2010</v>
      </c>
      <c r="U74">
        <v>2100</v>
      </c>
      <c r="V74">
        <v>2215</v>
      </c>
      <c r="W74">
        <v>2033</v>
      </c>
      <c r="X74">
        <v>2203</v>
      </c>
      <c r="Y74">
        <v>2203</v>
      </c>
      <c r="Z74">
        <v>1855</v>
      </c>
    </row>
    <row r="75" spans="1:26">
      <c r="A75" t="s">
        <v>341</v>
      </c>
      <c r="B75">
        <v>646</v>
      </c>
      <c r="C75">
        <v>629</v>
      </c>
      <c r="D75">
        <v>743.61500000000001</v>
      </c>
      <c r="E75">
        <v>907.60799999999995</v>
      </c>
      <c r="F75">
        <v>1000</v>
      </c>
      <c r="G75">
        <v>1054</v>
      </c>
      <c r="H75">
        <v>1089</v>
      </c>
      <c r="I75">
        <v>1057</v>
      </c>
      <c r="J75">
        <v>1003</v>
      </c>
      <c r="K75">
        <v>1147</v>
      </c>
      <c r="L75">
        <v>1146</v>
      </c>
      <c r="M75">
        <v>1566</v>
      </c>
      <c r="N75">
        <v>1705</v>
      </c>
      <c r="O75">
        <v>1821</v>
      </c>
      <c r="P75">
        <v>2100</v>
      </c>
      <c r="Q75">
        <v>2536</v>
      </c>
      <c r="R75">
        <v>3474</v>
      </c>
      <c r="S75">
        <v>2593</v>
      </c>
      <c r="T75">
        <v>2521</v>
      </c>
      <c r="U75">
        <v>2644</v>
      </c>
      <c r="V75">
        <v>2575</v>
      </c>
      <c r="W75">
        <v>2558</v>
      </c>
      <c r="X75">
        <v>1218</v>
      </c>
      <c r="Y75">
        <v>1218</v>
      </c>
      <c r="Z75">
        <v>1082</v>
      </c>
    </row>
    <row r="76" spans="1:26">
      <c r="A76" t="s">
        <v>85</v>
      </c>
      <c r="B76">
        <v>6335</v>
      </c>
      <c r="C76">
        <v>4391.7659999999996</v>
      </c>
      <c r="D76">
        <v>4770.2169999999996</v>
      </c>
      <c r="E76">
        <v>4930</v>
      </c>
      <c r="F76">
        <v>5000</v>
      </c>
      <c r="G76">
        <v>5692</v>
      </c>
      <c r="H76">
        <v>6077</v>
      </c>
      <c r="I76">
        <v>5632</v>
      </c>
      <c r="J76">
        <v>6266.0360000000001</v>
      </c>
      <c r="K76">
        <v>6261.3760000000002</v>
      </c>
      <c r="L76">
        <v>5035</v>
      </c>
      <c r="M76">
        <v>2761</v>
      </c>
      <c r="N76">
        <v>3896</v>
      </c>
      <c r="O76">
        <v>3810.835</v>
      </c>
      <c r="P76">
        <v>3416.5149999999999</v>
      </c>
      <c r="Q76">
        <v>3071</v>
      </c>
      <c r="R76">
        <v>3193</v>
      </c>
      <c r="S76">
        <v>3346</v>
      </c>
      <c r="T76">
        <v>3276</v>
      </c>
      <c r="U76">
        <v>3400</v>
      </c>
      <c r="V76">
        <v>3529</v>
      </c>
      <c r="W76">
        <v>3421</v>
      </c>
      <c r="X76">
        <v>2819</v>
      </c>
      <c r="Y76">
        <v>2819</v>
      </c>
      <c r="Z76">
        <v>2625</v>
      </c>
    </row>
    <row r="77" spans="1:26">
      <c r="A77" t="s">
        <v>37</v>
      </c>
      <c r="B77">
        <v>43821.8</v>
      </c>
      <c r="C77">
        <v>51524.1</v>
      </c>
      <c r="D77">
        <v>59097.5</v>
      </c>
      <c r="E77">
        <v>59029.7</v>
      </c>
      <c r="F77">
        <v>59776.6</v>
      </c>
      <c r="G77">
        <v>62710</v>
      </c>
      <c r="H77">
        <v>65645.600000000006</v>
      </c>
      <c r="I77">
        <v>66186.2</v>
      </c>
      <c r="J77">
        <v>70816</v>
      </c>
      <c r="K77">
        <v>72389</v>
      </c>
      <c r="L77">
        <v>68700</v>
      </c>
      <c r="M77">
        <v>59800</v>
      </c>
      <c r="N77">
        <v>66800</v>
      </c>
      <c r="O77">
        <v>68100</v>
      </c>
      <c r="P77">
        <v>68500</v>
      </c>
      <c r="Q77">
        <v>68861</v>
      </c>
      <c r="R77">
        <v>70548</v>
      </c>
      <c r="S77">
        <v>69421</v>
      </c>
      <c r="T77">
        <v>70808</v>
      </c>
      <c r="U77">
        <v>71300</v>
      </c>
      <c r="V77">
        <v>71682</v>
      </c>
      <c r="W77">
        <v>71729</v>
      </c>
      <c r="X77">
        <v>71621</v>
      </c>
      <c r="Y77">
        <v>71621</v>
      </c>
      <c r="Z77">
        <v>71746</v>
      </c>
    </row>
    <row r="78" spans="1:26">
      <c r="A78" t="s">
        <v>667</v>
      </c>
      <c r="Q78">
        <v>15</v>
      </c>
      <c r="R78">
        <v>15</v>
      </c>
      <c r="S78">
        <v>15</v>
      </c>
      <c r="T78">
        <v>19</v>
      </c>
      <c r="U78">
        <v>23</v>
      </c>
      <c r="V78">
        <v>23</v>
      </c>
      <c r="W78">
        <v>23</v>
      </c>
      <c r="X78">
        <v>20</v>
      </c>
      <c r="Y78">
        <v>20</v>
      </c>
      <c r="Z78">
        <v>25</v>
      </c>
    </row>
    <row r="79" spans="1:26">
      <c r="A79" t="s">
        <v>342</v>
      </c>
      <c r="B79">
        <v>2356</v>
      </c>
      <c r="C79">
        <v>2610</v>
      </c>
      <c r="D79">
        <v>2973</v>
      </c>
      <c r="E79">
        <v>3413</v>
      </c>
      <c r="F79">
        <v>3800</v>
      </c>
      <c r="G79">
        <v>3944</v>
      </c>
      <c r="H79">
        <v>3902</v>
      </c>
      <c r="I79">
        <v>4185</v>
      </c>
      <c r="J79">
        <v>3974</v>
      </c>
      <c r="K79">
        <v>4600</v>
      </c>
      <c r="L79">
        <v>4670</v>
      </c>
      <c r="M79">
        <v>4700</v>
      </c>
      <c r="N79">
        <v>5000</v>
      </c>
      <c r="O79">
        <v>5300</v>
      </c>
      <c r="P79">
        <v>5200</v>
      </c>
      <c r="Q79">
        <v>5471</v>
      </c>
      <c r="R79">
        <v>6291</v>
      </c>
      <c r="S79">
        <v>5230</v>
      </c>
      <c r="T79">
        <v>5461</v>
      </c>
      <c r="U79">
        <v>4800</v>
      </c>
      <c r="V79">
        <v>8187</v>
      </c>
      <c r="W79">
        <v>8191</v>
      </c>
      <c r="X79">
        <v>7775</v>
      </c>
      <c r="Y79">
        <v>7775</v>
      </c>
      <c r="Z79">
        <v>9860</v>
      </c>
    </row>
    <row r="80" spans="1:26">
      <c r="A80" t="s">
        <v>398</v>
      </c>
      <c r="J80">
        <v>1837</v>
      </c>
      <c r="K80">
        <v>2000</v>
      </c>
      <c r="L80">
        <v>1662</v>
      </c>
      <c r="M80">
        <v>1097</v>
      </c>
      <c r="N80">
        <v>1254</v>
      </c>
      <c r="O80">
        <v>1324</v>
      </c>
      <c r="P80">
        <v>345</v>
      </c>
      <c r="Q80">
        <v>396</v>
      </c>
      <c r="R80">
        <v>583</v>
      </c>
      <c r="S80">
        <v>955</v>
      </c>
      <c r="T80">
        <v>1173</v>
      </c>
      <c r="U80">
        <v>1500</v>
      </c>
      <c r="V80">
        <v>1973</v>
      </c>
      <c r="W80">
        <v>1929</v>
      </c>
      <c r="X80">
        <v>1456</v>
      </c>
      <c r="Y80">
        <v>1456</v>
      </c>
      <c r="Z80">
        <v>1674</v>
      </c>
    </row>
    <row r="81" spans="1:26">
      <c r="A81" t="s">
        <v>343</v>
      </c>
      <c r="B81">
        <v>949.31399999999996</v>
      </c>
      <c r="C81">
        <v>226.24</v>
      </c>
      <c r="D81">
        <v>682</v>
      </c>
      <c r="E81">
        <v>598</v>
      </c>
      <c r="F81">
        <v>596</v>
      </c>
      <c r="G81">
        <v>575.63699999999994</v>
      </c>
      <c r="H81">
        <v>1196.809</v>
      </c>
      <c r="I81">
        <v>1314.115</v>
      </c>
    </row>
    <row r="82" spans="1:26">
      <c r="A82" t="s">
        <v>593</v>
      </c>
      <c r="B82">
        <v>500</v>
      </c>
      <c r="C82">
        <v>500</v>
      </c>
      <c r="D82">
        <v>500</v>
      </c>
      <c r="E82">
        <v>400</v>
      </c>
      <c r="F82">
        <v>400</v>
      </c>
      <c r="G82">
        <v>561</v>
      </c>
      <c r="H82">
        <v>610</v>
      </c>
      <c r="I82">
        <v>572</v>
      </c>
      <c r="J82">
        <v>607</v>
      </c>
      <c r="K82">
        <v>620</v>
      </c>
      <c r="L82">
        <v>750</v>
      </c>
      <c r="M82">
        <v>620</v>
      </c>
      <c r="N82">
        <v>728</v>
      </c>
      <c r="O82">
        <v>650</v>
      </c>
      <c r="P82">
        <v>700</v>
      </c>
      <c r="Q82">
        <v>434</v>
      </c>
      <c r="R82">
        <v>540</v>
      </c>
      <c r="S82">
        <v>501</v>
      </c>
      <c r="T82">
        <v>520</v>
      </c>
      <c r="U82">
        <v>520</v>
      </c>
      <c r="V82">
        <v>618</v>
      </c>
      <c r="W82">
        <v>550</v>
      </c>
      <c r="X82">
        <v>419</v>
      </c>
      <c r="Y82">
        <v>419</v>
      </c>
      <c r="Z82">
        <v>550</v>
      </c>
    </row>
    <row r="83" spans="1:26">
      <c r="A83" t="s">
        <v>38</v>
      </c>
      <c r="B83">
        <v>3428</v>
      </c>
      <c r="C83">
        <v>3569</v>
      </c>
      <c r="D83">
        <v>3447</v>
      </c>
      <c r="E83">
        <v>3676</v>
      </c>
      <c r="F83">
        <v>3700</v>
      </c>
      <c r="G83">
        <v>4709</v>
      </c>
      <c r="H83">
        <v>4564</v>
      </c>
      <c r="I83">
        <v>4242</v>
      </c>
      <c r="J83">
        <v>4847.5619999999999</v>
      </c>
      <c r="K83">
        <v>4800.277</v>
      </c>
      <c r="L83">
        <v>4478</v>
      </c>
      <c r="M83">
        <v>3747</v>
      </c>
      <c r="N83">
        <v>4580</v>
      </c>
      <c r="O83">
        <v>4236</v>
      </c>
      <c r="P83">
        <v>4250</v>
      </c>
      <c r="Q83">
        <v>4511</v>
      </c>
      <c r="R83">
        <v>4705</v>
      </c>
      <c r="S83">
        <v>4562</v>
      </c>
      <c r="T83">
        <v>4808</v>
      </c>
      <c r="U83">
        <v>5000</v>
      </c>
      <c r="V83">
        <v>4947</v>
      </c>
      <c r="W83">
        <v>3931</v>
      </c>
      <c r="X83">
        <v>3444</v>
      </c>
      <c r="Y83">
        <v>3444</v>
      </c>
      <c r="Z83">
        <v>3872</v>
      </c>
    </row>
    <row r="84" spans="1:26">
      <c r="A84" t="s">
        <v>345</v>
      </c>
      <c r="B84">
        <v>405.21</v>
      </c>
      <c r="C84">
        <v>405</v>
      </c>
      <c r="D84">
        <v>519</v>
      </c>
      <c r="E84">
        <v>462</v>
      </c>
      <c r="F84">
        <v>480</v>
      </c>
      <c r="G84">
        <v>541</v>
      </c>
      <c r="H84">
        <v>566</v>
      </c>
      <c r="I84">
        <v>583</v>
      </c>
      <c r="J84">
        <v>627</v>
      </c>
      <c r="K84">
        <v>638</v>
      </c>
      <c r="L84">
        <v>692.32</v>
      </c>
      <c r="M84">
        <v>462.7</v>
      </c>
      <c r="N84">
        <v>565.94299999999998</v>
      </c>
      <c r="O84">
        <v>706.13300000000004</v>
      </c>
      <c r="P84">
        <v>600</v>
      </c>
      <c r="Q84">
        <v>618</v>
      </c>
      <c r="R84">
        <v>615</v>
      </c>
      <c r="S84">
        <v>604</v>
      </c>
      <c r="T84">
        <v>613</v>
      </c>
      <c r="U84">
        <v>613</v>
      </c>
      <c r="V84">
        <v>654</v>
      </c>
      <c r="W84">
        <v>623</v>
      </c>
      <c r="X84">
        <v>585</v>
      </c>
      <c r="Y84">
        <v>585</v>
      </c>
      <c r="Z84">
        <v>601</v>
      </c>
    </row>
    <row r="85" spans="1:26">
      <c r="A85" t="s">
        <v>240</v>
      </c>
      <c r="B85">
        <v>7506</v>
      </c>
      <c r="C85">
        <v>6830</v>
      </c>
      <c r="D85">
        <v>8481</v>
      </c>
      <c r="E85">
        <v>8821</v>
      </c>
      <c r="F85">
        <v>9000</v>
      </c>
      <c r="G85">
        <v>9481</v>
      </c>
      <c r="H85">
        <v>9500</v>
      </c>
      <c r="I85">
        <v>9494</v>
      </c>
      <c r="J85">
        <v>9718</v>
      </c>
      <c r="K85">
        <v>9100</v>
      </c>
      <c r="L85">
        <v>8246</v>
      </c>
      <c r="M85">
        <v>7484</v>
      </c>
      <c r="N85">
        <v>7617</v>
      </c>
      <c r="O85">
        <v>7546</v>
      </c>
      <c r="P85">
        <v>7100</v>
      </c>
      <c r="Q85">
        <v>7162</v>
      </c>
      <c r="R85">
        <v>6412</v>
      </c>
      <c r="S85">
        <v>6417</v>
      </c>
      <c r="T85">
        <v>6141</v>
      </c>
      <c r="U85">
        <v>6300</v>
      </c>
      <c r="V85">
        <v>6327</v>
      </c>
      <c r="W85">
        <v>6152</v>
      </c>
      <c r="X85">
        <v>3877</v>
      </c>
      <c r="Y85">
        <v>3877</v>
      </c>
      <c r="Z85">
        <v>4403</v>
      </c>
    </row>
    <row r="86" spans="1:26">
      <c r="A86" t="s">
        <v>288</v>
      </c>
      <c r="B86">
        <v>14827</v>
      </c>
      <c r="C86">
        <v>14886</v>
      </c>
      <c r="D86">
        <v>15920</v>
      </c>
      <c r="E86">
        <v>16500</v>
      </c>
      <c r="F86">
        <v>16358</v>
      </c>
      <c r="G86">
        <v>16287</v>
      </c>
      <c r="H86">
        <v>17684</v>
      </c>
      <c r="I86">
        <v>17711</v>
      </c>
      <c r="J86">
        <v>18400</v>
      </c>
      <c r="K86">
        <v>18400</v>
      </c>
      <c r="L86">
        <v>18600</v>
      </c>
      <c r="M86">
        <v>14400</v>
      </c>
      <c r="N86">
        <v>16343</v>
      </c>
      <c r="O86">
        <v>15591</v>
      </c>
      <c r="P86">
        <v>15600</v>
      </c>
      <c r="Q86">
        <v>14252</v>
      </c>
      <c r="R86">
        <v>14249</v>
      </c>
      <c r="S86">
        <v>14845</v>
      </c>
      <c r="T86">
        <v>13616</v>
      </c>
      <c r="U86">
        <v>14500</v>
      </c>
      <c r="V86">
        <v>14320</v>
      </c>
      <c r="W86">
        <v>13588</v>
      </c>
      <c r="X86">
        <v>10998</v>
      </c>
      <c r="Y86">
        <v>10998</v>
      </c>
      <c r="Z86">
        <v>11507</v>
      </c>
    </row>
    <row r="87" spans="1:26">
      <c r="A87" t="s">
        <v>514</v>
      </c>
      <c r="B87">
        <v>30</v>
      </c>
      <c r="C87">
        <v>30</v>
      </c>
      <c r="D87">
        <v>30</v>
      </c>
      <c r="E87">
        <v>30</v>
      </c>
      <c r="F87">
        <v>30</v>
      </c>
      <c r="G87">
        <v>30</v>
      </c>
      <c r="H87">
        <v>30</v>
      </c>
      <c r="I87">
        <v>30</v>
      </c>
      <c r="J87">
        <v>30</v>
      </c>
      <c r="K87">
        <v>30</v>
      </c>
    </row>
    <row r="88" spans="1:26">
      <c r="A88" t="s">
        <v>39</v>
      </c>
      <c r="B88">
        <v>5062</v>
      </c>
      <c r="C88">
        <v>5075</v>
      </c>
      <c r="D88">
        <v>5227</v>
      </c>
      <c r="E88">
        <v>5518</v>
      </c>
      <c r="F88">
        <v>5754</v>
      </c>
      <c r="G88">
        <v>5707</v>
      </c>
      <c r="H88">
        <v>5949</v>
      </c>
      <c r="I88">
        <v>5692</v>
      </c>
      <c r="J88">
        <v>5435</v>
      </c>
      <c r="K88">
        <v>5500</v>
      </c>
      <c r="L88">
        <v>5196</v>
      </c>
      <c r="M88">
        <v>2805</v>
      </c>
      <c r="N88">
        <v>4844</v>
      </c>
      <c r="O88">
        <v>4866</v>
      </c>
      <c r="P88">
        <v>4326</v>
      </c>
      <c r="Q88">
        <v>4404</v>
      </c>
      <c r="R88">
        <v>4539</v>
      </c>
      <c r="S88">
        <v>4374</v>
      </c>
      <c r="T88">
        <v>4617</v>
      </c>
      <c r="U88">
        <v>4700</v>
      </c>
      <c r="V88">
        <v>4654</v>
      </c>
      <c r="W88">
        <v>4721</v>
      </c>
      <c r="X88">
        <v>4409</v>
      </c>
      <c r="Y88">
        <v>4409</v>
      </c>
      <c r="Z88">
        <v>4404</v>
      </c>
    </row>
    <row r="89" spans="1:26">
      <c r="A89" t="s">
        <v>347</v>
      </c>
      <c r="B89">
        <v>1018</v>
      </c>
      <c r="C89">
        <v>1037.4000000000001</v>
      </c>
      <c r="D89">
        <v>1140</v>
      </c>
      <c r="E89">
        <v>1000</v>
      </c>
      <c r="F89">
        <v>1000</v>
      </c>
      <c r="G89">
        <v>1000</v>
      </c>
      <c r="H89">
        <v>1000</v>
      </c>
      <c r="I89">
        <v>1158</v>
      </c>
      <c r="J89">
        <v>1252</v>
      </c>
      <c r="K89">
        <v>1264</v>
      </c>
      <c r="L89">
        <v>1257</v>
      </c>
      <c r="M89">
        <v>984</v>
      </c>
      <c r="N89">
        <v>1330</v>
      </c>
      <c r="O89">
        <v>1400</v>
      </c>
      <c r="P89">
        <v>1250</v>
      </c>
      <c r="Q89">
        <v>1530</v>
      </c>
      <c r="R89">
        <v>1475</v>
      </c>
      <c r="S89">
        <v>1480</v>
      </c>
      <c r="T89">
        <v>1500</v>
      </c>
      <c r="U89">
        <v>1500</v>
      </c>
      <c r="V89">
        <v>1550</v>
      </c>
      <c r="W89">
        <v>1325</v>
      </c>
      <c r="X89">
        <v>1175</v>
      </c>
      <c r="Y89">
        <v>1175</v>
      </c>
      <c r="Z89">
        <v>1200</v>
      </c>
    </row>
    <row r="90" spans="1:26">
      <c r="A90" t="s">
        <v>515</v>
      </c>
      <c r="B90">
        <v>70</v>
      </c>
      <c r="C90">
        <v>70</v>
      </c>
      <c r="D90">
        <v>70</v>
      </c>
      <c r="E90">
        <v>70</v>
      </c>
      <c r="F90">
        <v>70</v>
      </c>
      <c r="G90">
        <v>70</v>
      </c>
      <c r="H90">
        <v>70</v>
      </c>
      <c r="I90">
        <v>70</v>
      </c>
      <c r="J90">
        <v>70</v>
      </c>
      <c r="K90">
        <v>70</v>
      </c>
      <c r="L90">
        <v>63</v>
      </c>
      <c r="M90">
        <v>61</v>
      </c>
      <c r="N90">
        <v>63</v>
      </c>
      <c r="O90">
        <v>63</v>
      </c>
      <c r="P90">
        <v>70</v>
      </c>
      <c r="Q90">
        <v>10</v>
      </c>
      <c r="R90">
        <v>5</v>
      </c>
      <c r="S90">
        <v>5</v>
      </c>
      <c r="T90">
        <v>5</v>
      </c>
      <c r="U90">
        <v>5</v>
      </c>
      <c r="V90">
        <v>45</v>
      </c>
      <c r="W90">
        <v>45</v>
      </c>
      <c r="X90">
        <v>37</v>
      </c>
      <c r="Y90">
        <v>37</v>
      </c>
      <c r="Z90">
        <v>30</v>
      </c>
    </row>
    <row r="91" spans="1:26">
      <c r="A91" t="s">
        <v>349</v>
      </c>
      <c r="B91">
        <v>17192</v>
      </c>
      <c r="C91">
        <v>16027</v>
      </c>
      <c r="D91">
        <v>17302.396000000001</v>
      </c>
      <c r="E91">
        <v>17336</v>
      </c>
      <c r="F91">
        <v>18255</v>
      </c>
      <c r="G91">
        <v>18832.271000000001</v>
      </c>
      <c r="H91">
        <v>19603.657999999999</v>
      </c>
      <c r="I91">
        <v>18567</v>
      </c>
      <c r="J91">
        <v>19203</v>
      </c>
      <c r="K91">
        <v>20450</v>
      </c>
      <c r="L91">
        <v>19222</v>
      </c>
      <c r="M91">
        <v>15566</v>
      </c>
      <c r="N91">
        <v>20498</v>
      </c>
      <c r="O91">
        <v>22879</v>
      </c>
      <c r="P91">
        <v>21083</v>
      </c>
      <c r="Q91">
        <v>22282</v>
      </c>
      <c r="R91">
        <v>23121</v>
      </c>
      <c r="S91">
        <v>21392</v>
      </c>
      <c r="T91">
        <v>21751</v>
      </c>
      <c r="U91">
        <v>22000</v>
      </c>
      <c r="V91">
        <v>23240</v>
      </c>
      <c r="W91">
        <v>21954</v>
      </c>
      <c r="X91">
        <v>20959</v>
      </c>
      <c r="Y91">
        <v>20959</v>
      </c>
      <c r="Z91">
        <v>20801</v>
      </c>
    </row>
    <row r="92" spans="1:26">
      <c r="A92" t="s">
        <v>668</v>
      </c>
      <c r="T92">
        <v>210</v>
      </c>
      <c r="U92">
        <v>210</v>
      </c>
      <c r="V92">
        <v>135</v>
      </c>
      <c r="W92">
        <v>140</v>
      </c>
      <c r="X92">
        <v>120</v>
      </c>
      <c r="Y92">
        <v>120</v>
      </c>
      <c r="Z92">
        <v>140</v>
      </c>
    </row>
    <row r="93" spans="1:26">
      <c r="A93" t="s">
        <v>40</v>
      </c>
      <c r="B93">
        <v>1814.1469999999999</v>
      </c>
      <c r="C93">
        <v>1532.16</v>
      </c>
      <c r="D93">
        <v>2099.6329999999998</v>
      </c>
      <c r="E93">
        <v>2127</v>
      </c>
      <c r="F93">
        <v>2200</v>
      </c>
      <c r="G93">
        <v>3572</v>
      </c>
      <c r="H93">
        <v>4533</v>
      </c>
      <c r="I93">
        <v>5161</v>
      </c>
      <c r="J93">
        <v>5210</v>
      </c>
      <c r="K93">
        <v>5470</v>
      </c>
      <c r="L93">
        <v>5211</v>
      </c>
      <c r="M93">
        <v>3645</v>
      </c>
      <c r="N93">
        <v>4145</v>
      </c>
      <c r="O93">
        <v>4000</v>
      </c>
      <c r="P93">
        <v>4000</v>
      </c>
      <c r="Q93">
        <v>3579</v>
      </c>
      <c r="R93">
        <v>4095</v>
      </c>
      <c r="S93">
        <v>3718</v>
      </c>
      <c r="T93">
        <v>3825</v>
      </c>
      <c r="U93">
        <v>4500</v>
      </c>
      <c r="V93">
        <v>6403</v>
      </c>
      <c r="W93">
        <v>4246</v>
      </c>
      <c r="X93">
        <v>4467</v>
      </c>
      <c r="Y93">
        <v>4467</v>
      </c>
      <c r="Z93">
        <v>5316</v>
      </c>
    </row>
    <row r="94" spans="1:26">
      <c r="A94" t="s">
        <v>350</v>
      </c>
      <c r="B94">
        <v>809.27</v>
      </c>
      <c r="C94">
        <v>762.19899999999996</v>
      </c>
      <c r="D94">
        <v>753.125</v>
      </c>
      <c r="E94">
        <v>696.11099999999999</v>
      </c>
      <c r="F94">
        <v>696.1</v>
      </c>
      <c r="G94">
        <v>923</v>
      </c>
      <c r="H94">
        <v>815</v>
      </c>
      <c r="I94">
        <v>711</v>
      </c>
      <c r="J94">
        <v>674</v>
      </c>
      <c r="K94">
        <v>670</v>
      </c>
      <c r="L94">
        <v>489</v>
      </c>
      <c r="M94">
        <v>417</v>
      </c>
      <c r="N94">
        <v>572</v>
      </c>
      <c r="O94">
        <v>610</v>
      </c>
      <c r="P94">
        <v>568</v>
      </c>
      <c r="Q94">
        <v>616</v>
      </c>
      <c r="R94">
        <v>483</v>
      </c>
      <c r="S94">
        <v>267</v>
      </c>
      <c r="T94">
        <v>36</v>
      </c>
      <c r="U94">
        <v>36</v>
      </c>
    </row>
    <row r="95" spans="1:26">
      <c r="A95" t="s">
        <v>42</v>
      </c>
      <c r="B95">
        <v>171</v>
      </c>
      <c r="C95">
        <v>229</v>
      </c>
      <c r="D95">
        <v>237</v>
      </c>
      <c r="E95">
        <v>239</v>
      </c>
      <c r="F95">
        <v>220</v>
      </c>
      <c r="G95">
        <v>86</v>
      </c>
      <c r="H95">
        <v>70</v>
      </c>
      <c r="I95">
        <v>66</v>
      </c>
      <c r="J95">
        <v>68</v>
      </c>
      <c r="K95">
        <v>61</v>
      </c>
      <c r="L95">
        <v>82</v>
      </c>
      <c r="M95">
        <v>155</v>
      </c>
      <c r="N95">
        <v>115</v>
      </c>
      <c r="O95">
        <v>119</v>
      </c>
      <c r="P95">
        <v>180</v>
      </c>
      <c r="Q95">
        <v>109</v>
      </c>
      <c r="R95">
        <v>101</v>
      </c>
      <c r="S95">
        <v>50</v>
      </c>
      <c r="T95">
        <v>50</v>
      </c>
      <c r="U95">
        <v>50</v>
      </c>
      <c r="V95">
        <v>84</v>
      </c>
      <c r="W95">
        <v>77</v>
      </c>
      <c r="X95">
        <v>84</v>
      </c>
      <c r="Y95">
        <v>84</v>
      </c>
      <c r="Z95">
        <v>76</v>
      </c>
    </row>
    <row r="96" spans="1:26">
      <c r="A96" t="s">
        <v>45</v>
      </c>
      <c r="B96">
        <v>13351</v>
      </c>
      <c r="C96">
        <v>14308.629000000001</v>
      </c>
      <c r="D96">
        <v>14325</v>
      </c>
      <c r="E96">
        <v>14900</v>
      </c>
      <c r="F96">
        <v>16000</v>
      </c>
      <c r="G96">
        <v>18298</v>
      </c>
      <c r="H96">
        <v>20478</v>
      </c>
      <c r="I96">
        <v>20960</v>
      </c>
      <c r="J96">
        <v>23308</v>
      </c>
      <c r="K96">
        <v>25750</v>
      </c>
      <c r="L96">
        <v>26809</v>
      </c>
      <c r="M96">
        <v>25304</v>
      </c>
      <c r="N96">
        <v>29030</v>
      </c>
      <c r="O96">
        <v>34000</v>
      </c>
      <c r="P96">
        <v>36000</v>
      </c>
      <c r="Q96">
        <v>34654</v>
      </c>
      <c r="R96">
        <v>34035</v>
      </c>
      <c r="S96">
        <v>31517</v>
      </c>
      <c r="T96">
        <v>33163</v>
      </c>
      <c r="U96">
        <v>37500</v>
      </c>
      <c r="V96">
        <v>37312</v>
      </c>
      <c r="W96">
        <v>33743</v>
      </c>
      <c r="X96">
        <v>35810</v>
      </c>
      <c r="Y96">
        <v>35810</v>
      </c>
      <c r="Z96">
        <v>35134</v>
      </c>
    </row>
    <row r="97" spans="1:26">
      <c r="A97" t="s">
        <v>242</v>
      </c>
      <c r="B97">
        <v>7.4</v>
      </c>
      <c r="C97">
        <v>7.9</v>
      </c>
      <c r="D97">
        <v>7</v>
      </c>
      <c r="E97">
        <v>7</v>
      </c>
      <c r="F97">
        <v>7</v>
      </c>
      <c r="G97">
        <v>30</v>
      </c>
      <c r="H97">
        <v>30</v>
      </c>
      <c r="I97">
        <v>30</v>
      </c>
      <c r="J97">
        <v>30</v>
      </c>
      <c r="K97">
        <v>30</v>
      </c>
      <c r="L97">
        <v>7</v>
      </c>
      <c r="M97">
        <v>7</v>
      </c>
      <c r="N97">
        <v>7</v>
      </c>
      <c r="O97">
        <v>7</v>
      </c>
      <c r="P97">
        <v>7</v>
      </c>
      <c r="Q97">
        <v>30</v>
      </c>
      <c r="R97">
        <v>30</v>
      </c>
      <c r="S97">
        <v>30</v>
      </c>
      <c r="T97">
        <v>30</v>
      </c>
      <c r="U97">
        <v>30</v>
      </c>
      <c r="V97">
        <v>190</v>
      </c>
      <c r="W97">
        <v>210</v>
      </c>
      <c r="X97">
        <v>210</v>
      </c>
      <c r="Y97">
        <v>210</v>
      </c>
      <c r="Z97">
        <v>360</v>
      </c>
    </row>
    <row r="98" spans="1:26">
      <c r="A98" t="s">
        <v>49</v>
      </c>
      <c r="B98">
        <v>23461</v>
      </c>
      <c r="C98">
        <v>27390</v>
      </c>
      <c r="D98">
        <v>31780</v>
      </c>
      <c r="E98">
        <v>33110</v>
      </c>
      <c r="F98">
        <v>34538</v>
      </c>
      <c r="G98">
        <v>36900</v>
      </c>
      <c r="H98">
        <v>38740</v>
      </c>
      <c r="I98">
        <v>38636</v>
      </c>
      <c r="J98">
        <v>40899</v>
      </c>
      <c r="K98">
        <v>42830</v>
      </c>
      <c r="L98">
        <v>37279</v>
      </c>
      <c r="M98">
        <v>29855</v>
      </c>
      <c r="N98">
        <v>33559</v>
      </c>
      <c r="O98">
        <v>35332</v>
      </c>
      <c r="P98">
        <v>32912</v>
      </c>
      <c r="Q98">
        <v>33199</v>
      </c>
      <c r="R98">
        <v>27373</v>
      </c>
      <c r="S98">
        <v>22935</v>
      </c>
      <c r="T98">
        <v>24128</v>
      </c>
      <c r="U98">
        <v>21300</v>
      </c>
      <c r="V98">
        <v>21101</v>
      </c>
      <c r="W98">
        <v>20848</v>
      </c>
      <c r="X98">
        <v>20550</v>
      </c>
      <c r="Y98">
        <v>20550</v>
      </c>
      <c r="Z98">
        <v>6263</v>
      </c>
    </row>
    <row r="99" spans="1:26">
      <c r="A99" t="s">
        <v>596</v>
      </c>
      <c r="G99">
        <v>50</v>
      </c>
      <c r="H99">
        <v>70</v>
      </c>
      <c r="I99">
        <v>70</v>
      </c>
      <c r="J99">
        <v>70</v>
      </c>
      <c r="K99">
        <v>90</v>
      </c>
      <c r="L99">
        <v>100</v>
      </c>
      <c r="M99">
        <v>100</v>
      </c>
      <c r="N99">
        <v>500</v>
      </c>
      <c r="O99">
        <v>2000</v>
      </c>
      <c r="P99">
        <v>2800</v>
      </c>
      <c r="Q99">
        <v>2878</v>
      </c>
      <c r="R99">
        <v>2390</v>
      </c>
      <c r="S99">
        <v>3006</v>
      </c>
      <c r="T99">
        <v>3149</v>
      </c>
      <c r="U99">
        <v>3300</v>
      </c>
      <c r="V99">
        <v>3247</v>
      </c>
      <c r="W99">
        <v>3327</v>
      </c>
      <c r="X99">
        <v>2722</v>
      </c>
      <c r="Y99">
        <v>2722</v>
      </c>
      <c r="Z99">
        <v>3211</v>
      </c>
    </row>
    <row r="100" spans="1:26">
      <c r="A100" t="s">
        <v>50</v>
      </c>
      <c r="B100">
        <v>17066</v>
      </c>
      <c r="C100">
        <v>16634</v>
      </c>
      <c r="D100">
        <v>15022</v>
      </c>
      <c r="E100">
        <v>13610</v>
      </c>
      <c r="F100">
        <v>11718</v>
      </c>
      <c r="G100">
        <v>13128</v>
      </c>
      <c r="H100">
        <v>13766</v>
      </c>
      <c r="I100">
        <v>13210</v>
      </c>
      <c r="J100">
        <v>13931</v>
      </c>
      <c r="K100">
        <v>14300</v>
      </c>
      <c r="L100">
        <v>13538</v>
      </c>
      <c r="M100">
        <v>10079</v>
      </c>
      <c r="N100">
        <v>9709</v>
      </c>
      <c r="O100">
        <v>9478</v>
      </c>
      <c r="P100">
        <v>9819</v>
      </c>
      <c r="Q100">
        <v>11858</v>
      </c>
      <c r="R100">
        <v>12120</v>
      </c>
      <c r="S100">
        <v>10907</v>
      </c>
      <c r="T100">
        <v>7635</v>
      </c>
      <c r="U100">
        <v>7500</v>
      </c>
      <c r="V100">
        <v>7268</v>
      </c>
      <c r="W100">
        <v>7218</v>
      </c>
      <c r="X100">
        <v>7086</v>
      </c>
      <c r="Y100">
        <v>7086</v>
      </c>
      <c r="Z100">
        <v>5963</v>
      </c>
    </row>
    <row r="101" spans="1:26">
      <c r="A101" t="s">
        <v>51</v>
      </c>
      <c r="B101">
        <v>98600</v>
      </c>
      <c r="C101">
        <v>97400</v>
      </c>
      <c r="D101">
        <v>102000</v>
      </c>
      <c r="E101">
        <v>90100</v>
      </c>
      <c r="F101">
        <v>91600</v>
      </c>
      <c r="G101">
        <v>93700</v>
      </c>
      <c r="H101">
        <v>99700</v>
      </c>
      <c r="I101">
        <v>94900</v>
      </c>
      <c r="J101">
        <v>98200</v>
      </c>
      <c r="K101">
        <v>98100</v>
      </c>
      <c r="L101">
        <v>91900</v>
      </c>
      <c r="M101">
        <v>59400</v>
      </c>
      <c r="N101">
        <v>80500</v>
      </c>
      <c r="O101">
        <v>86400</v>
      </c>
      <c r="P101">
        <v>88700</v>
      </c>
      <c r="Q101">
        <v>86900</v>
      </c>
      <c r="R101">
        <v>88200</v>
      </c>
      <c r="S101">
        <v>78800</v>
      </c>
      <c r="T101">
        <v>78500</v>
      </c>
      <c r="U101">
        <v>81600</v>
      </c>
      <c r="V101">
        <v>86600</v>
      </c>
      <c r="W101">
        <v>87800</v>
      </c>
      <c r="X101">
        <v>72700</v>
      </c>
      <c r="Y101">
        <v>72700</v>
      </c>
      <c r="Z101">
        <v>80500</v>
      </c>
    </row>
    <row r="102" spans="1:26">
      <c r="A102" t="s">
        <v>352</v>
      </c>
      <c r="B102">
        <v>52.012</v>
      </c>
      <c r="C102">
        <v>45.404000000000003</v>
      </c>
      <c r="D102">
        <v>38.101999999999997</v>
      </c>
      <c r="E102">
        <v>30.89</v>
      </c>
      <c r="F102">
        <v>34.4</v>
      </c>
      <c r="G102">
        <v>41</v>
      </c>
      <c r="H102">
        <v>58</v>
      </c>
      <c r="I102">
        <v>64</v>
      </c>
      <c r="J102">
        <v>57</v>
      </c>
      <c r="K102">
        <v>71</v>
      </c>
      <c r="L102">
        <v>86</v>
      </c>
      <c r="M102">
        <v>57</v>
      </c>
      <c r="N102">
        <v>65</v>
      </c>
      <c r="O102">
        <v>80</v>
      </c>
      <c r="P102">
        <v>44</v>
      </c>
      <c r="Q102">
        <v>91</v>
      </c>
      <c r="R102">
        <v>94</v>
      </c>
      <c r="S102">
        <v>97</v>
      </c>
      <c r="T102">
        <v>61</v>
      </c>
      <c r="U102">
        <v>58</v>
      </c>
      <c r="V102">
        <v>60</v>
      </c>
      <c r="W102">
        <v>62</v>
      </c>
      <c r="X102">
        <v>49</v>
      </c>
      <c r="Y102">
        <v>49</v>
      </c>
      <c r="Z102">
        <v>55</v>
      </c>
    </row>
    <row r="103" spans="1:26">
      <c r="A103" t="s">
        <v>353</v>
      </c>
      <c r="B103">
        <v>344</v>
      </c>
      <c r="C103">
        <v>343</v>
      </c>
      <c r="D103">
        <v>420</v>
      </c>
      <c r="E103">
        <v>460</v>
      </c>
      <c r="F103">
        <v>450</v>
      </c>
      <c r="G103">
        <v>472</v>
      </c>
      <c r="H103">
        <v>602.16600000000005</v>
      </c>
      <c r="I103">
        <v>607.25300000000004</v>
      </c>
      <c r="J103">
        <v>730</v>
      </c>
      <c r="K103">
        <v>740</v>
      </c>
      <c r="L103">
        <v>685.7</v>
      </c>
      <c r="M103">
        <v>716.4</v>
      </c>
      <c r="N103">
        <v>731.37300000000005</v>
      </c>
      <c r="O103">
        <v>746</v>
      </c>
      <c r="P103">
        <v>750</v>
      </c>
      <c r="Q103">
        <v>746</v>
      </c>
      <c r="R103">
        <v>751</v>
      </c>
      <c r="S103">
        <v>643</v>
      </c>
      <c r="T103">
        <v>654</v>
      </c>
      <c r="U103">
        <v>654</v>
      </c>
      <c r="V103">
        <v>646</v>
      </c>
      <c r="W103">
        <v>666</v>
      </c>
      <c r="X103">
        <v>939</v>
      </c>
      <c r="Y103">
        <v>939</v>
      </c>
      <c r="Z103">
        <v>950</v>
      </c>
    </row>
    <row r="104" spans="1:26">
      <c r="A104" t="s">
        <v>52</v>
      </c>
      <c r="B104">
        <v>3553.3150000000001</v>
      </c>
      <c r="C104">
        <v>3261.3649999999998</v>
      </c>
      <c r="D104">
        <v>3834.5749999999998</v>
      </c>
      <c r="E104">
        <v>3812.7</v>
      </c>
      <c r="F104">
        <v>4163.8999999999996</v>
      </c>
      <c r="G104">
        <v>3930.0990000000002</v>
      </c>
      <c r="H104">
        <v>4575</v>
      </c>
      <c r="I104">
        <v>4907</v>
      </c>
      <c r="J104">
        <v>4900</v>
      </c>
      <c r="K104">
        <v>4864</v>
      </c>
      <c r="L104">
        <v>4225</v>
      </c>
      <c r="M104">
        <v>3808</v>
      </c>
      <c r="N104">
        <v>2207</v>
      </c>
      <c r="O104">
        <v>2200</v>
      </c>
      <c r="P104">
        <v>2555</v>
      </c>
      <c r="Q104">
        <v>2139</v>
      </c>
      <c r="R104">
        <v>1485</v>
      </c>
      <c r="S104">
        <v>1345</v>
      </c>
      <c r="T104">
        <v>553</v>
      </c>
      <c r="U104">
        <v>553</v>
      </c>
      <c r="V104">
        <v>129</v>
      </c>
      <c r="W104">
        <v>50</v>
      </c>
      <c r="X104">
        <v>29</v>
      </c>
      <c r="Y104">
        <v>29</v>
      </c>
      <c r="Z104">
        <v>27</v>
      </c>
    </row>
    <row r="105" spans="1:26">
      <c r="A105" t="s">
        <v>669</v>
      </c>
      <c r="B105">
        <v>306.25599999999997</v>
      </c>
      <c r="C105">
        <v>308.30500000000001</v>
      </c>
      <c r="D105">
        <v>305.88099999999997</v>
      </c>
      <c r="E105">
        <v>318.77999999999997</v>
      </c>
      <c r="F105">
        <v>320</v>
      </c>
      <c r="G105">
        <v>544</v>
      </c>
      <c r="H105">
        <v>689</v>
      </c>
      <c r="I105">
        <v>890</v>
      </c>
      <c r="J105">
        <v>1400</v>
      </c>
      <c r="K105">
        <v>2000</v>
      </c>
      <c r="L105">
        <v>2250</v>
      </c>
      <c r="M105">
        <v>2700</v>
      </c>
      <c r="N105">
        <v>4314</v>
      </c>
      <c r="O105">
        <v>4500</v>
      </c>
      <c r="P105">
        <v>4500</v>
      </c>
      <c r="Q105">
        <v>3484</v>
      </c>
      <c r="R105">
        <v>3954</v>
      </c>
      <c r="S105">
        <v>4122</v>
      </c>
      <c r="T105">
        <v>7811</v>
      </c>
      <c r="U105">
        <v>11500</v>
      </c>
      <c r="V105">
        <v>15471</v>
      </c>
      <c r="W105">
        <v>17469</v>
      </c>
      <c r="X105">
        <v>19900</v>
      </c>
      <c r="Y105">
        <v>19900</v>
      </c>
      <c r="Z105">
        <v>20004</v>
      </c>
    </row>
    <row r="106" spans="1:26">
      <c r="A106" t="s">
        <v>597</v>
      </c>
      <c r="Q106">
        <v>91</v>
      </c>
      <c r="R106">
        <v>91</v>
      </c>
      <c r="S106">
        <v>52</v>
      </c>
      <c r="T106">
        <v>45</v>
      </c>
      <c r="U106">
        <v>54</v>
      </c>
      <c r="V106">
        <v>210</v>
      </c>
      <c r="W106">
        <v>220</v>
      </c>
      <c r="X106">
        <v>200</v>
      </c>
      <c r="Y106">
        <v>200</v>
      </c>
      <c r="Z106">
        <v>200</v>
      </c>
    </row>
    <row r="107" spans="1:26">
      <c r="A107" t="s">
        <v>53</v>
      </c>
      <c r="B107">
        <v>220</v>
      </c>
      <c r="C107">
        <v>255</v>
      </c>
      <c r="D107">
        <v>258</v>
      </c>
      <c r="E107">
        <v>156</v>
      </c>
      <c r="F107">
        <v>150</v>
      </c>
      <c r="G107">
        <v>152</v>
      </c>
      <c r="H107">
        <v>135</v>
      </c>
      <c r="I107">
        <v>107</v>
      </c>
      <c r="J107">
        <v>24</v>
      </c>
      <c r="K107">
        <v>23</v>
      </c>
      <c r="L107">
        <v>10</v>
      </c>
      <c r="M107">
        <v>14</v>
      </c>
      <c r="N107">
        <v>14</v>
      </c>
      <c r="O107">
        <v>15</v>
      </c>
    </row>
    <row r="108" spans="1:26">
      <c r="A108" t="s">
        <v>54</v>
      </c>
      <c r="B108">
        <v>770000</v>
      </c>
      <c r="C108">
        <v>784000</v>
      </c>
      <c r="D108">
        <v>845000</v>
      </c>
      <c r="E108">
        <v>847000</v>
      </c>
      <c r="F108">
        <v>898000</v>
      </c>
      <c r="G108">
        <v>974000</v>
      </c>
      <c r="H108">
        <v>1060000</v>
      </c>
      <c r="I108">
        <v>1140000</v>
      </c>
      <c r="J108">
        <v>1250000</v>
      </c>
      <c r="K108">
        <v>1340000</v>
      </c>
      <c r="L108">
        <v>1330000</v>
      </c>
      <c r="M108">
        <v>1230000</v>
      </c>
      <c r="N108">
        <v>1430000</v>
      </c>
      <c r="O108">
        <v>1520000</v>
      </c>
      <c r="P108">
        <v>1550000</v>
      </c>
      <c r="Q108">
        <v>1610000</v>
      </c>
      <c r="R108">
        <v>1670000</v>
      </c>
      <c r="S108">
        <v>1620000</v>
      </c>
      <c r="T108">
        <v>1630000</v>
      </c>
      <c r="U108">
        <v>1690000</v>
      </c>
      <c r="V108">
        <v>1820000</v>
      </c>
      <c r="W108">
        <v>1870000</v>
      </c>
      <c r="X108">
        <v>1880000</v>
      </c>
      <c r="Y108">
        <v>1880000</v>
      </c>
      <c r="Z108">
        <v>1880000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5FE-A786-A84D-9656-8E2E0BC07E9D}">
  <dimension ref="A1:W80"/>
  <sheetViews>
    <sheetView topLeftCell="A16" zoomScale="113" zoomScaleNormal="214" workbookViewId="0">
      <selection activeCell="T52" sqref="T52"/>
    </sheetView>
  </sheetViews>
  <sheetFormatPr baseColWidth="10" defaultRowHeight="15"/>
  <cols>
    <col min="1" max="1" width="18" style="140" customWidth="1"/>
    <col min="2" max="2" width="2.33203125" style="140" customWidth="1"/>
    <col min="3" max="3" width="8.1640625" style="140" customWidth="1"/>
    <col min="4" max="4" width="2.33203125" style="356" customWidth="1"/>
    <col min="5" max="5" width="8.1640625" style="140" customWidth="1"/>
    <col min="6" max="6" width="2.33203125" style="356" customWidth="1"/>
    <col min="7" max="7" width="8.1640625" style="140" customWidth="1"/>
    <col min="8" max="8" width="2.33203125" style="356" customWidth="1"/>
    <col min="9" max="9" width="8.1640625" style="140" customWidth="1"/>
    <col min="10" max="10" width="2.33203125" style="356" customWidth="1"/>
    <col min="11" max="11" width="8.1640625" style="140" customWidth="1"/>
    <col min="12" max="12" width="1.5" style="356" bestFit="1" customWidth="1"/>
    <col min="13" max="13" width="1.6640625" style="140" customWidth="1"/>
    <col min="14" max="14" width="8.1640625" style="140" customWidth="1"/>
    <col min="15" max="15" width="2.33203125" style="356" customWidth="1"/>
    <col min="16" max="16" width="8.1640625" style="140" customWidth="1"/>
    <col min="17" max="17" width="2.33203125" style="356" customWidth="1"/>
    <col min="18" max="18" width="8.1640625" style="140" customWidth="1"/>
    <col min="19" max="19" width="2.33203125" style="356" customWidth="1"/>
    <col min="20" max="20" width="8.1640625" style="140" customWidth="1"/>
    <col min="21" max="21" width="2.33203125" style="356" customWidth="1"/>
    <col min="22" max="22" width="8.1640625" style="140" customWidth="1"/>
    <col min="23" max="23" width="2.33203125" style="356" customWidth="1"/>
    <col min="24" max="256" width="8.83203125" style="140" customWidth="1"/>
    <col min="257" max="257" width="18" style="140" customWidth="1"/>
    <col min="258" max="258" width="2.33203125" style="140" customWidth="1"/>
    <col min="259" max="259" width="8.1640625" style="140" customWidth="1"/>
    <col min="260" max="260" width="2.33203125" style="140" customWidth="1"/>
    <col min="261" max="261" width="8.1640625" style="140" customWidth="1"/>
    <col min="262" max="262" width="2.33203125" style="140" customWidth="1"/>
    <col min="263" max="263" width="8.1640625" style="140" customWidth="1"/>
    <col min="264" max="264" width="2.33203125" style="140" customWidth="1"/>
    <col min="265" max="265" width="8.1640625" style="140" customWidth="1"/>
    <col min="266" max="266" width="2.33203125" style="140" customWidth="1"/>
    <col min="267" max="267" width="8.1640625" style="140" customWidth="1"/>
    <col min="268" max="268" width="1.5" style="140" bestFit="1" customWidth="1"/>
    <col min="269" max="269" width="1.6640625" style="140" customWidth="1"/>
    <col min="270" max="270" width="8.1640625" style="140" customWidth="1"/>
    <col min="271" max="271" width="2.33203125" style="140" customWidth="1"/>
    <col min="272" max="272" width="8.1640625" style="140" customWidth="1"/>
    <col min="273" max="273" width="2.33203125" style="140" customWidth="1"/>
    <col min="274" max="274" width="8.1640625" style="140" customWidth="1"/>
    <col min="275" max="275" width="2.33203125" style="140" customWidth="1"/>
    <col min="276" max="276" width="8.1640625" style="140" customWidth="1"/>
    <col min="277" max="277" width="2.33203125" style="140" customWidth="1"/>
    <col min="278" max="278" width="8.1640625" style="140" customWidth="1"/>
    <col min="279" max="279" width="2.33203125" style="140" customWidth="1"/>
    <col min="280" max="512" width="8.83203125" style="140" customWidth="1"/>
    <col min="513" max="513" width="18" style="140" customWidth="1"/>
    <col min="514" max="514" width="2.33203125" style="140" customWidth="1"/>
    <col min="515" max="515" width="8.1640625" style="140" customWidth="1"/>
    <col min="516" max="516" width="2.33203125" style="140" customWidth="1"/>
    <col min="517" max="517" width="8.1640625" style="140" customWidth="1"/>
    <col min="518" max="518" width="2.33203125" style="140" customWidth="1"/>
    <col min="519" max="519" width="8.1640625" style="140" customWidth="1"/>
    <col min="520" max="520" width="2.33203125" style="140" customWidth="1"/>
    <col min="521" max="521" width="8.1640625" style="140" customWidth="1"/>
    <col min="522" max="522" width="2.33203125" style="140" customWidth="1"/>
    <col min="523" max="523" width="8.1640625" style="140" customWidth="1"/>
    <col min="524" max="524" width="1.5" style="140" bestFit="1" customWidth="1"/>
    <col min="525" max="525" width="1.6640625" style="140" customWidth="1"/>
    <col min="526" max="526" width="8.1640625" style="140" customWidth="1"/>
    <col min="527" max="527" width="2.33203125" style="140" customWidth="1"/>
    <col min="528" max="528" width="8.1640625" style="140" customWidth="1"/>
    <col min="529" max="529" width="2.33203125" style="140" customWidth="1"/>
    <col min="530" max="530" width="8.1640625" style="140" customWidth="1"/>
    <col min="531" max="531" width="2.33203125" style="140" customWidth="1"/>
    <col min="532" max="532" width="8.1640625" style="140" customWidth="1"/>
    <col min="533" max="533" width="2.33203125" style="140" customWidth="1"/>
    <col min="534" max="534" width="8.1640625" style="140" customWidth="1"/>
    <col min="535" max="535" width="2.33203125" style="140" customWidth="1"/>
    <col min="536" max="768" width="8.83203125" style="140" customWidth="1"/>
    <col min="769" max="769" width="18" style="140" customWidth="1"/>
    <col min="770" max="770" width="2.33203125" style="140" customWidth="1"/>
    <col min="771" max="771" width="8.1640625" style="140" customWidth="1"/>
    <col min="772" max="772" width="2.33203125" style="140" customWidth="1"/>
    <col min="773" max="773" width="8.1640625" style="140" customWidth="1"/>
    <col min="774" max="774" width="2.33203125" style="140" customWidth="1"/>
    <col min="775" max="775" width="8.1640625" style="140" customWidth="1"/>
    <col min="776" max="776" width="2.33203125" style="140" customWidth="1"/>
    <col min="777" max="777" width="8.1640625" style="140" customWidth="1"/>
    <col min="778" max="778" width="2.33203125" style="140" customWidth="1"/>
    <col min="779" max="779" width="8.1640625" style="140" customWidth="1"/>
    <col min="780" max="780" width="1.5" style="140" bestFit="1" customWidth="1"/>
    <col min="781" max="781" width="1.6640625" style="140" customWidth="1"/>
    <col min="782" max="782" width="8.1640625" style="140" customWidth="1"/>
    <col min="783" max="783" width="2.33203125" style="140" customWidth="1"/>
    <col min="784" max="784" width="8.1640625" style="140" customWidth="1"/>
    <col min="785" max="785" width="2.33203125" style="140" customWidth="1"/>
    <col min="786" max="786" width="8.1640625" style="140" customWidth="1"/>
    <col min="787" max="787" width="2.33203125" style="140" customWidth="1"/>
    <col min="788" max="788" width="8.1640625" style="140" customWidth="1"/>
    <col min="789" max="789" width="2.33203125" style="140" customWidth="1"/>
    <col min="790" max="790" width="8.1640625" style="140" customWidth="1"/>
    <col min="791" max="791" width="2.33203125" style="140" customWidth="1"/>
    <col min="792" max="1024" width="8.83203125" style="140" customWidth="1"/>
    <col min="1025" max="1025" width="18" style="140" customWidth="1"/>
    <col min="1026" max="1026" width="2.33203125" style="140" customWidth="1"/>
    <col min="1027" max="1027" width="8.1640625" style="140" customWidth="1"/>
    <col min="1028" max="1028" width="2.33203125" style="140" customWidth="1"/>
    <col min="1029" max="1029" width="8.1640625" style="140" customWidth="1"/>
    <col min="1030" max="1030" width="2.33203125" style="140" customWidth="1"/>
    <col min="1031" max="1031" width="8.1640625" style="140" customWidth="1"/>
    <col min="1032" max="1032" width="2.33203125" style="140" customWidth="1"/>
    <col min="1033" max="1033" width="8.1640625" style="140" customWidth="1"/>
    <col min="1034" max="1034" width="2.33203125" style="140" customWidth="1"/>
    <col min="1035" max="1035" width="8.1640625" style="140" customWidth="1"/>
    <col min="1036" max="1036" width="1.5" style="140" bestFit="1" customWidth="1"/>
    <col min="1037" max="1037" width="1.6640625" style="140" customWidth="1"/>
    <col min="1038" max="1038" width="8.1640625" style="140" customWidth="1"/>
    <col min="1039" max="1039" width="2.33203125" style="140" customWidth="1"/>
    <col min="1040" max="1040" width="8.1640625" style="140" customWidth="1"/>
    <col min="1041" max="1041" width="2.33203125" style="140" customWidth="1"/>
    <col min="1042" max="1042" width="8.1640625" style="140" customWidth="1"/>
    <col min="1043" max="1043" width="2.33203125" style="140" customWidth="1"/>
    <col min="1044" max="1044" width="8.1640625" style="140" customWidth="1"/>
    <col min="1045" max="1045" width="2.33203125" style="140" customWidth="1"/>
    <col min="1046" max="1046" width="8.1640625" style="140" customWidth="1"/>
    <col min="1047" max="1047" width="2.33203125" style="140" customWidth="1"/>
    <col min="1048" max="1280" width="8.83203125" style="140" customWidth="1"/>
    <col min="1281" max="1281" width="18" style="140" customWidth="1"/>
    <col min="1282" max="1282" width="2.33203125" style="140" customWidth="1"/>
    <col min="1283" max="1283" width="8.1640625" style="140" customWidth="1"/>
    <col min="1284" max="1284" width="2.33203125" style="140" customWidth="1"/>
    <col min="1285" max="1285" width="8.1640625" style="140" customWidth="1"/>
    <col min="1286" max="1286" width="2.33203125" style="140" customWidth="1"/>
    <col min="1287" max="1287" width="8.1640625" style="140" customWidth="1"/>
    <col min="1288" max="1288" width="2.33203125" style="140" customWidth="1"/>
    <col min="1289" max="1289" width="8.1640625" style="140" customWidth="1"/>
    <col min="1290" max="1290" width="2.33203125" style="140" customWidth="1"/>
    <col min="1291" max="1291" width="8.1640625" style="140" customWidth="1"/>
    <col min="1292" max="1292" width="1.5" style="140" bestFit="1" customWidth="1"/>
    <col min="1293" max="1293" width="1.6640625" style="140" customWidth="1"/>
    <col min="1294" max="1294" width="8.1640625" style="140" customWidth="1"/>
    <col min="1295" max="1295" width="2.33203125" style="140" customWidth="1"/>
    <col min="1296" max="1296" width="8.1640625" style="140" customWidth="1"/>
    <col min="1297" max="1297" width="2.33203125" style="140" customWidth="1"/>
    <col min="1298" max="1298" width="8.1640625" style="140" customWidth="1"/>
    <col min="1299" max="1299" width="2.33203125" style="140" customWidth="1"/>
    <col min="1300" max="1300" width="8.1640625" style="140" customWidth="1"/>
    <col min="1301" max="1301" width="2.33203125" style="140" customWidth="1"/>
    <col min="1302" max="1302" width="8.1640625" style="140" customWidth="1"/>
    <col min="1303" max="1303" width="2.33203125" style="140" customWidth="1"/>
    <col min="1304" max="1536" width="8.83203125" style="140" customWidth="1"/>
    <col min="1537" max="1537" width="18" style="140" customWidth="1"/>
    <col min="1538" max="1538" width="2.33203125" style="140" customWidth="1"/>
    <col min="1539" max="1539" width="8.1640625" style="140" customWidth="1"/>
    <col min="1540" max="1540" width="2.33203125" style="140" customWidth="1"/>
    <col min="1541" max="1541" width="8.1640625" style="140" customWidth="1"/>
    <col min="1542" max="1542" width="2.33203125" style="140" customWidth="1"/>
    <col min="1543" max="1543" width="8.1640625" style="140" customWidth="1"/>
    <col min="1544" max="1544" width="2.33203125" style="140" customWidth="1"/>
    <col min="1545" max="1545" width="8.1640625" style="140" customWidth="1"/>
    <col min="1546" max="1546" width="2.33203125" style="140" customWidth="1"/>
    <col min="1547" max="1547" width="8.1640625" style="140" customWidth="1"/>
    <col min="1548" max="1548" width="1.5" style="140" bestFit="1" customWidth="1"/>
    <col min="1549" max="1549" width="1.6640625" style="140" customWidth="1"/>
    <col min="1550" max="1550" width="8.1640625" style="140" customWidth="1"/>
    <col min="1551" max="1551" width="2.33203125" style="140" customWidth="1"/>
    <col min="1552" max="1552" width="8.1640625" style="140" customWidth="1"/>
    <col min="1553" max="1553" width="2.33203125" style="140" customWidth="1"/>
    <col min="1554" max="1554" width="8.1640625" style="140" customWidth="1"/>
    <col min="1555" max="1555" width="2.33203125" style="140" customWidth="1"/>
    <col min="1556" max="1556" width="8.1640625" style="140" customWidth="1"/>
    <col min="1557" max="1557" width="2.33203125" style="140" customWidth="1"/>
    <col min="1558" max="1558" width="8.1640625" style="140" customWidth="1"/>
    <col min="1559" max="1559" width="2.33203125" style="140" customWidth="1"/>
    <col min="1560" max="1792" width="8.83203125" style="140" customWidth="1"/>
    <col min="1793" max="1793" width="18" style="140" customWidth="1"/>
    <col min="1794" max="1794" width="2.33203125" style="140" customWidth="1"/>
    <col min="1795" max="1795" width="8.1640625" style="140" customWidth="1"/>
    <col min="1796" max="1796" width="2.33203125" style="140" customWidth="1"/>
    <col min="1797" max="1797" width="8.1640625" style="140" customWidth="1"/>
    <col min="1798" max="1798" width="2.33203125" style="140" customWidth="1"/>
    <col min="1799" max="1799" width="8.1640625" style="140" customWidth="1"/>
    <col min="1800" max="1800" width="2.33203125" style="140" customWidth="1"/>
    <col min="1801" max="1801" width="8.1640625" style="140" customWidth="1"/>
    <col min="1802" max="1802" width="2.33203125" style="140" customWidth="1"/>
    <col min="1803" max="1803" width="8.1640625" style="140" customWidth="1"/>
    <col min="1804" max="1804" width="1.5" style="140" bestFit="1" customWidth="1"/>
    <col min="1805" max="1805" width="1.6640625" style="140" customWidth="1"/>
    <col min="1806" max="1806" width="8.1640625" style="140" customWidth="1"/>
    <col min="1807" max="1807" width="2.33203125" style="140" customWidth="1"/>
    <col min="1808" max="1808" width="8.1640625" style="140" customWidth="1"/>
    <col min="1809" max="1809" width="2.33203125" style="140" customWidth="1"/>
    <col min="1810" max="1810" width="8.1640625" style="140" customWidth="1"/>
    <col min="1811" max="1811" width="2.33203125" style="140" customWidth="1"/>
    <col min="1812" max="1812" width="8.1640625" style="140" customWidth="1"/>
    <col min="1813" max="1813" width="2.33203125" style="140" customWidth="1"/>
    <col min="1814" max="1814" width="8.1640625" style="140" customWidth="1"/>
    <col min="1815" max="1815" width="2.33203125" style="140" customWidth="1"/>
    <col min="1816" max="2048" width="8.83203125" style="140" customWidth="1"/>
    <col min="2049" max="2049" width="18" style="140" customWidth="1"/>
    <col min="2050" max="2050" width="2.33203125" style="140" customWidth="1"/>
    <col min="2051" max="2051" width="8.1640625" style="140" customWidth="1"/>
    <col min="2052" max="2052" width="2.33203125" style="140" customWidth="1"/>
    <col min="2053" max="2053" width="8.1640625" style="140" customWidth="1"/>
    <col min="2054" max="2054" width="2.33203125" style="140" customWidth="1"/>
    <col min="2055" max="2055" width="8.1640625" style="140" customWidth="1"/>
    <col min="2056" max="2056" width="2.33203125" style="140" customWidth="1"/>
    <col min="2057" max="2057" width="8.1640625" style="140" customWidth="1"/>
    <col min="2058" max="2058" width="2.33203125" style="140" customWidth="1"/>
    <col min="2059" max="2059" width="8.1640625" style="140" customWidth="1"/>
    <col min="2060" max="2060" width="1.5" style="140" bestFit="1" customWidth="1"/>
    <col min="2061" max="2061" width="1.6640625" style="140" customWidth="1"/>
    <col min="2062" max="2062" width="8.1640625" style="140" customWidth="1"/>
    <col min="2063" max="2063" width="2.33203125" style="140" customWidth="1"/>
    <col min="2064" max="2064" width="8.1640625" style="140" customWidth="1"/>
    <col min="2065" max="2065" width="2.33203125" style="140" customWidth="1"/>
    <col min="2066" max="2066" width="8.1640625" style="140" customWidth="1"/>
    <col min="2067" max="2067" width="2.33203125" style="140" customWidth="1"/>
    <col min="2068" max="2068" width="8.1640625" style="140" customWidth="1"/>
    <col min="2069" max="2069" width="2.33203125" style="140" customWidth="1"/>
    <col min="2070" max="2070" width="8.1640625" style="140" customWidth="1"/>
    <col min="2071" max="2071" width="2.33203125" style="140" customWidth="1"/>
    <col min="2072" max="2304" width="8.83203125" style="140" customWidth="1"/>
    <col min="2305" max="2305" width="18" style="140" customWidth="1"/>
    <col min="2306" max="2306" width="2.33203125" style="140" customWidth="1"/>
    <col min="2307" max="2307" width="8.1640625" style="140" customWidth="1"/>
    <col min="2308" max="2308" width="2.33203125" style="140" customWidth="1"/>
    <col min="2309" max="2309" width="8.1640625" style="140" customWidth="1"/>
    <col min="2310" max="2310" width="2.33203125" style="140" customWidth="1"/>
    <col min="2311" max="2311" width="8.1640625" style="140" customWidth="1"/>
    <col min="2312" max="2312" width="2.33203125" style="140" customWidth="1"/>
    <col min="2313" max="2313" width="8.1640625" style="140" customWidth="1"/>
    <col min="2314" max="2314" width="2.33203125" style="140" customWidth="1"/>
    <col min="2315" max="2315" width="8.1640625" style="140" customWidth="1"/>
    <col min="2316" max="2316" width="1.5" style="140" bestFit="1" customWidth="1"/>
    <col min="2317" max="2317" width="1.6640625" style="140" customWidth="1"/>
    <col min="2318" max="2318" width="8.1640625" style="140" customWidth="1"/>
    <col min="2319" max="2319" width="2.33203125" style="140" customWidth="1"/>
    <col min="2320" max="2320" width="8.1640625" style="140" customWidth="1"/>
    <col min="2321" max="2321" width="2.33203125" style="140" customWidth="1"/>
    <col min="2322" max="2322" width="8.1640625" style="140" customWidth="1"/>
    <col min="2323" max="2323" width="2.33203125" style="140" customWidth="1"/>
    <col min="2324" max="2324" width="8.1640625" style="140" customWidth="1"/>
    <col min="2325" max="2325" width="2.33203125" style="140" customWidth="1"/>
    <col min="2326" max="2326" width="8.1640625" style="140" customWidth="1"/>
    <col min="2327" max="2327" width="2.33203125" style="140" customWidth="1"/>
    <col min="2328" max="2560" width="8.83203125" style="140" customWidth="1"/>
    <col min="2561" max="2561" width="18" style="140" customWidth="1"/>
    <col min="2562" max="2562" width="2.33203125" style="140" customWidth="1"/>
    <col min="2563" max="2563" width="8.1640625" style="140" customWidth="1"/>
    <col min="2564" max="2564" width="2.33203125" style="140" customWidth="1"/>
    <col min="2565" max="2565" width="8.1640625" style="140" customWidth="1"/>
    <col min="2566" max="2566" width="2.33203125" style="140" customWidth="1"/>
    <col min="2567" max="2567" width="8.1640625" style="140" customWidth="1"/>
    <col min="2568" max="2568" width="2.33203125" style="140" customWidth="1"/>
    <col min="2569" max="2569" width="8.1640625" style="140" customWidth="1"/>
    <col min="2570" max="2570" width="2.33203125" style="140" customWidth="1"/>
    <col min="2571" max="2571" width="8.1640625" style="140" customWidth="1"/>
    <col min="2572" max="2572" width="1.5" style="140" bestFit="1" customWidth="1"/>
    <col min="2573" max="2573" width="1.6640625" style="140" customWidth="1"/>
    <col min="2574" max="2574" width="8.1640625" style="140" customWidth="1"/>
    <col min="2575" max="2575" width="2.33203125" style="140" customWidth="1"/>
    <col min="2576" max="2576" width="8.1640625" style="140" customWidth="1"/>
    <col min="2577" max="2577" width="2.33203125" style="140" customWidth="1"/>
    <col min="2578" max="2578" width="8.1640625" style="140" customWidth="1"/>
    <col min="2579" max="2579" width="2.33203125" style="140" customWidth="1"/>
    <col min="2580" max="2580" width="8.1640625" style="140" customWidth="1"/>
    <col min="2581" max="2581" width="2.33203125" style="140" customWidth="1"/>
    <col min="2582" max="2582" width="8.1640625" style="140" customWidth="1"/>
    <col min="2583" max="2583" width="2.33203125" style="140" customWidth="1"/>
    <col min="2584" max="2816" width="8.83203125" style="140" customWidth="1"/>
    <col min="2817" max="2817" width="18" style="140" customWidth="1"/>
    <col min="2818" max="2818" width="2.33203125" style="140" customWidth="1"/>
    <col min="2819" max="2819" width="8.1640625" style="140" customWidth="1"/>
    <col min="2820" max="2820" width="2.33203125" style="140" customWidth="1"/>
    <col min="2821" max="2821" width="8.1640625" style="140" customWidth="1"/>
    <col min="2822" max="2822" width="2.33203125" style="140" customWidth="1"/>
    <col min="2823" max="2823" width="8.1640625" style="140" customWidth="1"/>
    <col min="2824" max="2824" width="2.33203125" style="140" customWidth="1"/>
    <col min="2825" max="2825" width="8.1640625" style="140" customWidth="1"/>
    <col min="2826" max="2826" width="2.33203125" style="140" customWidth="1"/>
    <col min="2827" max="2827" width="8.1640625" style="140" customWidth="1"/>
    <col min="2828" max="2828" width="1.5" style="140" bestFit="1" customWidth="1"/>
    <col min="2829" max="2829" width="1.6640625" style="140" customWidth="1"/>
    <col min="2830" max="2830" width="8.1640625" style="140" customWidth="1"/>
    <col min="2831" max="2831" width="2.33203125" style="140" customWidth="1"/>
    <col min="2832" max="2832" width="8.1640625" style="140" customWidth="1"/>
    <col min="2833" max="2833" width="2.33203125" style="140" customWidth="1"/>
    <col min="2834" max="2834" width="8.1640625" style="140" customWidth="1"/>
    <col min="2835" max="2835" width="2.33203125" style="140" customWidth="1"/>
    <col min="2836" max="2836" width="8.1640625" style="140" customWidth="1"/>
    <col min="2837" max="2837" width="2.33203125" style="140" customWidth="1"/>
    <col min="2838" max="2838" width="8.1640625" style="140" customWidth="1"/>
    <col min="2839" max="2839" width="2.33203125" style="140" customWidth="1"/>
    <col min="2840" max="3072" width="8.83203125" style="140" customWidth="1"/>
    <col min="3073" max="3073" width="18" style="140" customWidth="1"/>
    <col min="3074" max="3074" width="2.33203125" style="140" customWidth="1"/>
    <col min="3075" max="3075" width="8.1640625" style="140" customWidth="1"/>
    <col min="3076" max="3076" width="2.33203125" style="140" customWidth="1"/>
    <col min="3077" max="3077" width="8.1640625" style="140" customWidth="1"/>
    <col min="3078" max="3078" width="2.33203125" style="140" customWidth="1"/>
    <col min="3079" max="3079" width="8.1640625" style="140" customWidth="1"/>
    <col min="3080" max="3080" width="2.33203125" style="140" customWidth="1"/>
    <col min="3081" max="3081" width="8.1640625" style="140" customWidth="1"/>
    <col min="3082" max="3082" width="2.33203125" style="140" customWidth="1"/>
    <col min="3083" max="3083" width="8.1640625" style="140" customWidth="1"/>
    <col min="3084" max="3084" width="1.5" style="140" bestFit="1" customWidth="1"/>
    <col min="3085" max="3085" width="1.6640625" style="140" customWidth="1"/>
    <col min="3086" max="3086" width="8.1640625" style="140" customWidth="1"/>
    <col min="3087" max="3087" width="2.33203125" style="140" customWidth="1"/>
    <col min="3088" max="3088" width="8.1640625" style="140" customWidth="1"/>
    <col min="3089" max="3089" width="2.33203125" style="140" customWidth="1"/>
    <col min="3090" max="3090" width="8.1640625" style="140" customWidth="1"/>
    <col min="3091" max="3091" width="2.33203125" style="140" customWidth="1"/>
    <col min="3092" max="3092" width="8.1640625" style="140" customWidth="1"/>
    <col min="3093" max="3093" width="2.33203125" style="140" customWidth="1"/>
    <col min="3094" max="3094" width="8.1640625" style="140" customWidth="1"/>
    <col min="3095" max="3095" width="2.33203125" style="140" customWidth="1"/>
    <col min="3096" max="3328" width="8.83203125" style="140" customWidth="1"/>
    <col min="3329" max="3329" width="18" style="140" customWidth="1"/>
    <col min="3330" max="3330" width="2.33203125" style="140" customWidth="1"/>
    <col min="3331" max="3331" width="8.1640625" style="140" customWidth="1"/>
    <col min="3332" max="3332" width="2.33203125" style="140" customWidth="1"/>
    <col min="3333" max="3333" width="8.1640625" style="140" customWidth="1"/>
    <col min="3334" max="3334" width="2.33203125" style="140" customWidth="1"/>
    <col min="3335" max="3335" width="8.1640625" style="140" customWidth="1"/>
    <col min="3336" max="3336" width="2.33203125" style="140" customWidth="1"/>
    <col min="3337" max="3337" width="8.1640625" style="140" customWidth="1"/>
    <col min="3338" max="3338" width="2.33203125" style="140" customWidth="1"/>
    <col min="3339" max="3339" width="8.1640625" style="140" customWidth="1"/>
    <col min="3340" max="3340" width="1.5" style="140" bestFit="1" customWidth="1"/>
    <col min="3341" max="3341" width="1.6640625" style="140" customWidth="1"/>
    <col min="3342" max="3342" width="8.1640625" style="140" customWidth="1"/>
    <col min="3343" max="3343" width="2.33203125" style="140" customWidth="1"/>
    <col min="3344" max="3344" width="8.1640625" style="140" customWidth="1"/>
    <col min="3345" max="3345" width="2.33203125" style="140" customWidth="1"/>
    <col min="3346" max="3346" width="8.1640625" style="140" customWidth="1"/>
    <col min="3347" max="3347" width="2.33203125" style="140" customWidth="1"/>
    <col min="3348" max="3348" width="8.1640625" style="140" customWidth="1"/>
    <col min="3349" max="3349" width="2.33203125" style="140" customWidth="1"/>
    <col min="3350" max="3350" width="8.1640625" style="140" customWidth="1"/>
    <col min="3351" max="3351" width="2.33203125" style="140" customWidth="1"/>
    <col min="3352" max="3584" width="8.83203125" style="140" customWidth="1"/>
    <col min="3585" max="3585" width="18" style="140" customWidth="1"/>
    <col min="3586" max="3586" width="2.33203125" style="140" customWidth="1"/>
    <col min="3587" max="3587" width="8.1640625" style="140" customWidth="1"/>
    <col min="3588" max="3588" width="2.33203125" style="140" customWidth="1"/>
    <col min="3589" max="3589" width="8.1640625" style="140" customWidth="1"/>
    <col min="3590" max="3590" width="2.33203125" style="140" customWidth="1"/>
    <col min="3591" max="3591" width="8.1640625" style="140" customWidth="1"/>
    <col min="3592" max="3592" width="2.33203125" style="140" customWidth="1"/>
    <col min="3593" max="3593" width="8.1640625" style="140" customWidth="1"/>
    <col min="3594" max="3594" width="2.33203125" style="140" customWidth="1"/>
    <col min="3595" max="3595" width="8.1640625" style="140" customWidth="1"/>
    <col min="3596" max="3596" width="1.5" style="140" bestFit="1" customWidth="1"/>
    <col min="3597" max="3597" width="1.6640625" style="140" customWidth="1"/>
    <col min="3598" max="3598" width="8.1640625" style="140" customWidth="1"/>
    <col min="3599" max="3599" width="2.33203125" style="140" customWidth="1"/>
    <col min="3600" max="3600" width="8.1640625" style="140" customWidth="1"/>
    <col min="3601" max="3601" width="2.33203125" style="140" customWidth="1"/>
    <col min="3602" max="3602" width="8.1640625" style="140" customWidth="1"/>
    <col min="3603" max="3603" width="2.33203125" style="140" customWidth="1"/>
    <col min="3604" max="3604" width="8.1640625" style="140" customWidth="1"/>
    <col min="3605" max="3605" width="2.33203125" style="140" customWidth="1"/>
    <col min="3606" max="3606" width="8.1640625" style="140" customWidth="1"/>
    <col min="3607" max="3607" width="2.33203125" style="140" customWidth="1"/>
    <col min="3608" max="3840" width="8.83203125" style="140" customWidth="1"/>
    <col min="3841" max="3841" width="18" style="140" customWidth="1"/>
    <col min="3842" max="3842" width="2.33203125" style="140" customWidth="1"/>
    <col min="3843" max="3843" width="8.1640625" style="140" customWidth="1"/>
    <col min="3844" max="3844" width="2.33203125" style="140" customWidth="1"/>
    <col min="3845" max="3845" width="8.1640625" style="140" customWidth="1"/>
    <col min="3846" max="3846" width="2.33203125" style="140" customWidth="1"/>
    <col min="3847" max="3847" width="8.1640625" style="140" customWidth="1"/>
    <col min="3848" max="3848" width="2.33203125" style="140" customWidth="1"/>
    <col min="3849" max="3849" width="8.1640625" style="140" customWidth="1"/>
    <col min="3850" max="3850" width="2.33203125" style="140" customWidth="1"/>
    <col min="3851" max="3851" width="8.1640625" style="140" customWidth="1"/>
    <col min="3852" max="3852" width="1.5" style="140" bestFit="1" customWidth="1"/>
    <col min="3853" max="3853" width="1.6640625" style="140" customWidth="1"/>
    <col min="3854" max="3854" width="8.1640625" style="140" customWidth="1"/>
    <col min="3855" max="3855" width="2.33203125" style="140" customWidth="1"/>
    <col min="3856" max="3856" width="8.1640625" style="140" customWidth="1"/>
    <col min="3857" max="3857" width="2.33203125" style="140" customWidth="1"/>
    <col min="3858" max="3858" width="8.1640625" style="140" customWidth="1"/>
    <col min="3859" max="3859" width="2.33203125" style="140" customWidth="1"/>
    <col min="3860" max="3860" width="8.1640625" style="140" customWidth="1"/>
    <col min="3861" max="3861" width="2.33203125" style="140" customWidth="1"/>
    <col min="3862" max="3862" width="8.1640625" style="140" customWidth="1"/>
    <col min="3863" max="3863" width="2.33203125" style="140" customWidth="1"/>
    <col min="3864" max="4096" width="8.83203125" style="140" customWidth="1"/>
    <col min="4097" max="4097" width="18" style="140" customWidth="1"/>
    <col min="4098" max="4098" width="2.33203125" style="140" customWidth="1"/>
    <col min="4099" max="4099" width="8.1640625" style="140" customWidth="1"/>
    <col min="4100" max="4100" width="2.33203125" style="140" customWidth="1"/>
    <col min="4101" max="4101" width="8.1640625" style="140" customWidth="1"/>
    <col min="4102" max="4102" width="2.33203125" style="140" customWidth="1"/>
    <col min="4103" max="4103" width="8.1640625" style="140" customWidth="1"/>
    <col min="4104" max="4104" width="2.33203125" style="140" customWidth="1"/>
    <col min="4105" max="4105" width="8.1640625" style="140" customWidth="1"/>
    <col min="4106" max="4106" width="2.33203125" style="140" customWidth="1"/>
    <col min="4107" max="4107" width="8.1640625" style="140" customWidth="1"/>
    <col min="4108" max="4108" width="1.5" style="140" bestFit="1" customWidth="1"/>
    <col min="4109" max="4109" width="1.6640625" style="140" customWidth="1"/>
    <col min="4110" max="4110" width="8.1640625" style="140" customWidth="1"/>
    <col min="4111" max="4111" width="2.33203125" style="140" customWidth="1"/>
    <col min="4112" max="4112" width="8.1640625" style="140" customWidth="1"/>
    <col min="4113" max="4113" width="2.33203125" style="140" customWidth="1"/>
    <col min="4114" max="4114" width="8.1640625" style="140" customWidth="1"/>
    <col min="4115" max="4115" width="2.33203125" style="140" customWidth="1"/>
    <col min="4116" max="4116" width="8.1640625" style="140" customWidth="1"/>
    <col min="4117" max="4117" width="2.33203125" style="140" customWidth="1"/>
    <col min="4118" max="4118" width="8.1640625" style="140" customWidth="1"/>
    <col min="4119" max="4119" width="2.33203125" style="140" customWidth="1"/>
    <col min="4120" max="4352" width="8.83203125" style="140" customWidth="1"/>
    <col min="4353" max="4353" width="18" style="140" customWidth="1"/>
    <col min="4354" max="4354" width="2.33203125" style="140" customWidth="1"/>
    <col min="4355" max="4355" width="8.1640625" style="140" customWidth="1"/>
    <col min="4356" max="4356" width="2.33203125" style="140" customWidth="1"/>
    <col min="4357" max="4357" width="8.1640625" style="140" customWidth="1"/>
    <col min="4358" max="4358" width="2.33203125" style="140" customWidth="1"/>
    <col min="4359" max="4359" width="8.1640625" style="140" customWidth="1"/>
    <col min="4360" max="4360" width="2.33203125" style="140" customWidth="1"/>
    <col min="4361" max="4361" width="8.1640625" style="140" customWidth="1"/>
    <col min="4362" max="4362" width="2.33203125" style="140" customWidth="1"/>
    <col min="4363" max="4363" width="8.1640625" style="140" customWidth="1"/>
    <col min="4364" max="4364" width="1.5" style="140" bestFit="1" customWidth="1"/>
    <col min="4365" max="4365" width="1.6640625" style="140" customWidth="1"/>
    <col min="4366" max="4366" width="8.1640625" style="140" customWidth="1"/>
    <col min="4367" max="4367" width="2.33203125" style="140" customWidth="1"/>
    <col min="4368" max="4368" width="8.1640625" style="140" customWidth="1"/>
    <col min="4369" max="4369" width="2.33203125" style="140" customWidth="1"/>
    <col min="4370" max="4370" width="8.1640625" style="140" customWidth="1"/>
    <col min="4371" max="4371" width="2.33203125" style="140" customWidth="1"/>
    <col min="4372" max="4372" width="8.1640625" style="140" customWidth="1"/>
    <col min="4373" max="4373" width="2.33203125" style="140" customWidth="1"/>
    <col min="4374" max="4374" width="8.1640625" style="140" customWidth="1"/>
    <col min="4375" max="4375" width="2.33203125" style="140" customWidth="1"/>
    <col min="4376" max="4608" width="8.83203125" style="140" customWidth="1"/>
    <col min="4609" max="4609" width="18" style="140" customWidth="1"/>
    <col min="4610" max="4610" width="2.33203125" style="140" customWidth="1"/>
    <col min="4611" max="4611" width="8.1640625" style="140" customWidth="1"/>
    <col min="4612" max="4612" width="2.33203125" style="140" customWidth="1"/>
    <col min="4613" max="4613" width="8.1640625" style="140" customWidth="1"/>
    <col min="4614" max="4614" width="2.33203125" style="140" customWidth="1"/>
    <col min="4615" max="4615" width="8.1640625" style="140" customWidth="1"/>
    <col min="4616" max="4616" width="2.33203125" style="140" customWidth="1"/>
    <col min="4617" max="4617" width="8.1640625" style="140" customWidth="1"/>
    <col min="4618" max="4618" width="2.33203125" style="140" customWidth="1"/>
    <col min="4619" max="4619" width="8.1640625" style="140" customWidth="1"/>
    <col min="4620" max="4620" width="1.5" style="140" bestFit="1" customWidth="1"/>
    <col min="4621" max="4621" width="1.6640625" style="140" customWidth="1"/>
    <col min="4622" max="4622" width="8.1640625" style="140" customWidth="1"/>
    <col min="4623" max="4623" width="2.33203125" style="140" customWidth="1"/>
    <col min="4624" max="4624" width="8.1640625" style="140" customWidth="1"/>
    <col min="4625" max="4625" width="2.33203125" style="140" customWidth="1"/>
    <col min="4626" max="4626" width="8.1640625" style="140" customWidth="1"/>
    <col min="4627" max="4627" width="2.33203125" style="140" customWidth="1"/>
    <col min="4628" max="4628" width="8.1640625" style="140" customWidth="1"/>
    <col min="4629" max="4629" width="2.33203125" style="140" customWidth="1"/>
    <col min="4630" max="4630" width="8.1640625" style="140" customWidth="1"/>
    <col min="4631" max="4631" width="2.33203125" style="140" customWidth="1"/>
    <col min="4632" max="4864" width="8.83203125" style="140" customWidth="1"/>
    <col min="4865" max="4865" width="18" style="140" customWidth="1"/>
    <col min="4866" max="4866" width="2.33203125" style="140" customWidth="1"/>
    <col min="4867" max="4867" width="8.1640625" style="140" customWidth="1"/>
    <col min="4868" max="4868" width="2.33203125" style="140" customWidth="1"/>
    <col min="4869" max="4869" width="8.1640625" style="140" customWidth="1"/>
    <col min="4870" max="4870" width="2.33203125" style="140" customWidth="1"/>
    <col min="4871" max="4871" width="8.1640625" style="140" customWidth="1"/>
    <col min="4872" max="4872" width="2.33203125" style="140" customWidth="1"/>
    <col min="4873" max="4873" width="8.1640625" style="140" customWidth="1"/>
    <col min="4874" max="4874" width="2.33203125" style="140" customWidth="1"/>
    <col min="4875" max="4875" width="8.1640625" style="140" customWidth="1"/>
    <col min="4876" max="4876" width="1.5" style="140" bestFit="1" customWidth="1"/>
    <col min="4877" max="4877" width="1.6640625" style="140" customWidth="1"/>
    <col min="4878" max="4878" width="8.1640625" style="140" customWidth="1"/>
    <col min="4879" max="4879" width="2.33203125" style="140" customWidth="1"/>
    <col min="4880" max="4880" width="8.1640625" style="140" customWidth="1"/>
    <col min="4881" max="4881" width="2.33203125" style="140" customWidth="1"/>
    <col min="4882" max="4882" width="8.1640625" style="140" customWidth="1"/>
    <col min="4883" max="4883" width="2.33203125" style="140" customWidth="1"/>
    <col min="4884" max="4884" width="8.1640625" style="140" customWidth="1"/>
    <col min="4885" max="4885" width="2.33203125" style="140" customWidth="1"/>
    <col min="4886" max="4886" width="8.1640625" style="140" customWidth="1"/>
    <col min="4887" max="4887" width="2.33203125" style="140" customWidth="1"/>
    <col min="4888" max="5120" width="8.83203125" style="140" customWidth="1"/>
    <col min="5121" max="5121" width="18" style="140" customWidth="1"/>
    <col min="5122" max="5122" width="2.33203125" style="140" customWidth="1"/>
    <col min="5123" max="5123" width="8.1640625" style="140" customWidth="1"/>
    <col min="5124" max="5124" width="2.33203125" style="140" customWidth="1"/>
    <col min="5125" max="5125" width="8.1640625" style="140" customWidth="1"/>
    <col min="5126" max="5126" width="2.33203125" style="140" customWidth="1"/>
    <col min="5127" max="5127" width="8.1640625" style="140" customWidth="1"/>
    <col min="5128" max="5128" width="2.33203125" style="140" customWidth="1"/>
    <col min="5129" max="5129" width="8.1640625" style="140" customWidth="1"/>
    <col min="5130" max="5130" width="2.33203125" style="140" customWidth="1"/>
    <col min="5131" max="5131" width="8.1640625" style="140" customWidth="1"/>
    <col min="5132" max="5132" width="1.5" style="140" bestFit="1" customWidth="1"/>
    <col min="5133" max="5133" width="1.6640625" style="140" customWidth="1"/>
    <col min="5134" max="5134" width="8.1640625" style="140" customWidth="1"/>
    <col min="5135" max="5135" width="2.33203125" style="140" customWidth="1"/>
    <col min="5136" max="5136" width="8.1640625" style="140" customWidth="1"/>
    <col min="5137" max="5137" width="2.33203125" style="140" customWidth="1"/>
    <col min="5138" max="5138" width="8.1640625" style="140" customWidth="1"/>
    <col min="5139" max="5139" width="2.33203125" style="140" customWidth="1"/>
    <col min="5140" max="5140" width="8.1640625" style="140" customWidth="1"/>
    <col min="5141" max="5141" width="2.33203125" style="140" customWidth="1"/>
    <col min="5142" max="5142" width="8.1640625" style="140" customWidth="1"/>
    <col min="5143" max="5143" width="2.33203125" style="140" customWidth="1"/>
    <col min="5144" max="5376" width="8.83203125" style="140" customWidth="1"/>
    <col min="5377" max="5377" width="18" style="140" customWidth="1"/>
    <col min="5378" max="5378" width="2.33203125" style="140" customWidth="1"/>
    <col min="5379" max="5379" width="8.1640625" style="140" customWidth="1"/>
    <col min="5380" max="5380" width="2.33203125" style="140" customWidth="1"/>
    <col min="5381" max="5381" width="8.1640625" style="140" customWidth="1"/>
    <col min="5382" max="5382" width="2.33203125" style="140" customWidth="1"/>
    <col min="5383" max="5383" width="8.1640625" style="140" customWidth="1"/>
    <col min="5384" max="5384" width="2.33203125" style="140" customWidth="1"/>
    <col min="5385" max="5385" width="8.1640625" style="140" customWidth="1"/>
    <col min="5386" max="5386" width="2.33203125" style="140" customWidth="1"/>
    <col min="5387" max="5387" width="8.1640625" style="140" customWidth="1"/>
    <col min="5388" max="5388" width="1.5" style="140" bestFit="1" customWidth="1"/>
    <col min="5389" max="5389" width="1.6640625" style="140" customWidth="1"/>
    <col min="5390" max="5390" width="8.1640625" style="140" customWidth="1"/>
    <col min="5391" max="5391" width="2.33203125" style="140" customWidth="1"/>
    <col min="5392" max="5392" width="8.1640625" style="140" customWidth="1"/>
    <col min="5393" max="5393" width="2.33203125" style="140" customWidth="1"/>
    <col min="5394" max="5394" width="8.1640625" style="140" customWidth="1"/>
    <col min="5395" max="5395" width="2.33203125" style="140" customWidth="1"/>
    <col min="5396" max="5396" width="8.1640625" style="140" customWidth="1"/>
    <col min="5397" max="5397" width="2.33203125" style="140" customWidth="1"/>
    <col min="5398" max="5398" width="8.1640625" style="140" customWidth="1"/>
    <col min="5399" max="5399" width="2.33203125" style="140" customWidth="1"/>
    <col min="5400" max="5632" width="8.83203125" style="140" customWidth="1"/>
    <col min="5633" max="5633" width="18" style="140" customWidth="1"/>
    <col min="5634" max="5634" width="2.33203125" style="140" customWidth="1"/>
    <col min="5635" max="5635" width="8.1640625" style="140" customWidth="1"/>
    <col min="5636" max="5636" width="2.33203125" style="140" customWidth="1"/>
    <col min="5637" max="5637" width="8.1640625" style="140" customWidth="1"/>
    <col min="5638" max="5638" width="2.33203125" style="140" customWidth="1"/>
    <col min="5639" max="5639" width="8.1640625" style="140" customWidth="1"/>
    <col min="5640" max="5640" width="2.33203125" style="140" customWidth="1"/>
    <col min="5641" max="5641" width="8.1640625" style="140" customWidth="1"/>
    <col min="5642" max="5642" width="2.33203125" style="140" customWidth="1"/>
    <col min="5643" max="5643" width="8.1640625" style="140" customWidth="1"/>
    <col min="5644" max="5644" width="1.5" style="140" bestFit="1" customWidth="1"/>
    <col min="5645" max="5645" width="1.6640625" style="140" customWidth="1"/>
    <col min="5646" max="5646" width="8.1640625" style="140" customWidth="1"/>
    <col min="5647" max="5647" width="2.33203125" style="140" customWidth="1"/>
    <col min="5648" max="5648" width="8.1640625" style="140" customWidth="1"/>
    <col min="5649" max="5649" width="2.33203125" style="140" customWidth="1"/>
    <col min="5650" max="5650" width="8.1640625" style="140" customWidth="1"/>
    <col min="5651" max="5651" width="2.33203125" style="140" customWidth="1"/>
    <col min="5652" max="5652" width="8.1640625" style="140" customWidth="1"/>
    <col min="5653" max="5653" width="2.33203125" style="140" customWidth="1"/>
    <col min="5654" max="5654" width="8.1640625" style="140" customWidth="1"/>
    <col min="5655" max="5655" width="2.33203125" style="140" customWidth="1"/>
    <col min="5656" max="5888" width="8.83203125" style="140" customWidth="1"/>
    <col min="5889" max="5889" width="18" style="140" customWidth="1"/>
    <col min="5890" max="5890" width="2.33203125" style="140" customWidth="1"/>
    <col min="5891" max="5891" width="8.1640625" style="140" customWidth="1"/>
    <col min="5892" max="5892" width="2.33203125" style="140" customWidth="1"/>
    <col min="5893" max="5893" width="8.1640625" style="140" customWidth="1"/>
    <col min="5894" max="5894" width="2.33203125" style="140" customWidth="1"/>
    <col min="5895" max="5895" width="8.1640625" style="140" customWidth="1"/>
    <col min="5896" max="5896" width="2.33203125" style="140" customWidth="1"/>
    <col min="5897" max="5897" width="8.1640625" style="140" customWidth="1"/>
    <col min="5898" max="5898" width="2.33203125" style="140" customWidth="1"/>
    <col min="5899" max="5899" width="8.1640625" style="140" customWidth="1"/>
    <col min="5900" max="5900" width="1.5" style="140" bestFit="1" customWidth="1"/>
    <col min="5901" max="5901" width="1.6640625" style="140" customWidth="1"/>
    <col min="5902" max="5902" width="8.1640625" style="140" customWidth="1"/>
    <col min="5903" max="5903" width="2.33203125" style="140" customWidth="1"/>
    <col min="5904" max="5904" width="8.1640625" style="140" customWidth="1"/>
    <col min="5905" max="5905" width="2.33203125" style="140" customWidth="1"/>
    <col min="5906" max="5906" width="8.1640625" style="140" customWidth="1"/>
    <col min="5907" max="5907" width="2.33203125" style="140" customWidth="1"/>
    <col min="5908" max="5908" width="8.1640625" style="140" customWidth="1"/>
    <col min="5909" max="5909" width="2.33203125" style="140" customWidth="1"/>
    <col min="5910" max="5910" width="8.1640625" style="140" customWidth="1"/>
    <col min="5911" max="5911" width="2.33203125" style="140" customWidth="1"/>
    <col min="5912" max="6144" width="8.83203125" style="140" customWidth="1"/>
    <col min="6145" max="6145" width="18" style="140" customWidth="1"/>
    <col min="6146" max="6146" width="2.33203125" style="140" customWidth="1"/>
    <col min="6147" max="6147" width="8.1640625" style="140" customWidth="1"/>
    <col min="6148" max="6148" width="2.33203125" style="140" customWidth="1"/>
    <col min="6149" max="6149" width="8.1640625" style="140" customWidth="1"/>
    <col min="6150" max="6150" width="2.33203125" style="140" customWidth="1"/>
    <col min="6151" max="6151" width="8.1640625" style="140" customWidth="1"/>
    <col min="6152" max="6152" width="2.33203125" style="140" customWidth="1"/>
    <col min="6153" max="6153" width="8.1640625" style="140" customWidth="1"/>
    <col min="6154" max="6154" width="2.33203125" style="140" customWidth="1"/>
    <col min="6155" max="6155" width="8.1640625" style="140" customWidth="1"/>
    <col min="6156" max="6156" width="1.5" style="140" bestFit="1" customWidth="1"/>
    <col min="6157" max="6157" width="1.6640625" style="140" customWidth="1"/>
    <col min="6158" max="6158" width="8.1640625" style="140" customWidth="1"/>
    <col min="6159" max="6159" width="2.33203125" style="140" customWidth="1"/>
    <col min="6160" max="6160" width="8.1640625" style="140" customWidth="1"/>
    <col min="6161" max="6161" width="2.33203125" style="140" customWidth="1"/>
    <col min="6162" max="6162" width="8.1640625" style="140" customWidth="1"/>
    <col min="6163" max="6163" width="2.33203125" style="140" customWidth="1"/>
    <col min="6164" max="6164" width="8.1640625" style="140" customWidth="1"/>
    <col min="6165" max="6165" width="2.33203125" style="140" customWidth="1"/>
    <col min="6166" max="6166" width="8.1640625" style="140" customWidth="1"/>
    <col min="6167" max="6167" width="2.33203125" style="140" customWidth="1"/>
    <col min="6168" max="6400" width="8.83203125" style="140" customWidth="1"/>
    <col min="6401" max="6401" width="18" style="140" customWidth="1"/>
    <col min="6402" max="6402" width="2.33203125" style="140" customWidth="1"/>
    <col min="6403" max="6403" width="8.1640625" style="140" customWidth="1"/>
    <col min="6404" max="6404" width="2.33203125" style="140" customWidth="1"/>
    <col min="6405" max="6405" width="8.1640625" style="140" customWidth="1"/>
    <col min="6406" max="6406" width="2.33203125" style="140" customWidth="1"/>
    <col min="6407" max="6407" width="8.1640625" style="140" customWidth="1"/>
    <col min="6408" max="6408" width="2.33203125" style="140" customWidth="1"/>
    <col min="6409" max="6409" width="8.1640625" style="140" customWidth="1"/>
    <col min="6410" max="6410" width="2.33203125" style="140" customWidth="1"/>
    <col min="6411" max="6411" width="8.1640625" style="140" customWidth="1"/>
    <col min="6412" max="6412" width="1.5" style="140" bestFit="1" customWidth="1"/>
    <col min="6413" max="6413" width="1.6640625" style="140" customWidth="1"/>
    <col min="6414" max="6414" width="8.1640625" style="140" customWidth="1"/>
    <col min="6415" max="6415" width="2.33203125" style="140" customWidth="1"/>
    <col min="6416" max="6416" width="8.1640625" style="140" customWidth="1"/>
    <col min="6417" max="6417" width="2.33203125" style="140" customWidth="1"/>
    <col min="6418" max="6418" width="8.1640625" style="140" customWidth="1"/>
    <col min="6419" max="6419" width="2.33203125" style="140" customWidth="1"/>
    <col min="6420" max="6420" width="8.1640625" style="140" customWidth="1"/>
    <col min="6421" max="6421" width="2.33203125" style="140" customWidth="1"/>
    <col min="6422" max="6422" width="8.1640625" style="140" customWidth="1"/>
    <col min="6423" max="6423" width="2.33203125" style="140" customWidth="1"/>
    <col min="6424" max="6656" width="8.83203125" style="140" customWidth="1"/>
    <col min="6657" max="6657" width="18" style="140" customWidth="1"/>
    <col min="6658" max="6658" width="2.33203125" style="140" customWidth="1"/>
    <col min="6659" max="6659" width="8.1640625" style="140" customWidth="1"/>
    <col min="6660" max="6660" width="2.33203125" style="140" customWidth="1"/>
    <col min="6661" max="6661" width="8.1640625" style="140" customWidth="1"/>
    <col min="6662" max="6662" width="2.33203125" style="140" customWidth="1"/>
    <col min="6663" max="6663" width="8.1640625" style="140" customWidth="1"/>
    <col min="6664" max="6664" width="2.33203125" style="140" customWidth="1"/>
    <col min="6665" max="6665" width="8.1640625" style="140" customWidth="1"/>
    <col min="6666" max="6666" width="2.33203125" style="140" customWidth="1"/>
    <col min="6667" max="6667" width="8.1640625" style="140" customWidth="1"/>
    <col min="6668" max="6668" width="1.5" style="140" bestFit="1" customWidth="1"/>
    <col min="6669" max="6669" width="1.6640625" style="140" customWidth="1"/>
    <col min="6670" max="6670" width="8.1640625" style="140" customWidth="1"/>
    <col min="6671" max="6671" width="2.33203125" style="140" customWidth="1"/>
    <col min="6672" max="6672" width="8.1640625" style="140" customWidth="1"/>
    <col min="6673" max="6673" width="2.33203125" style="140" customWidth="1"/>
    <col min="6674" max="6674" width="8.1640625" style="140" customWidth="1"/>
    <col min="6675" max="6675" width="2.33203125" style="140" customWidth="1"/>
    <col min="6676" max="6676" width="8.1640625" style="140" customWidth="1"/>
    <col min="6677" max="6677" width="2.33203125" style="140" customWidth="1"/>
    <col min="6678" max="6678" width="8.1640625" style="140" customWidth="1"/>
    <col min="6679" max="6679" width="2.33203125" style="140" customWidth="1"/>
    <col min="6680" max="6912" width="8.83203125" style="140" customWidth="1"/>
    <col min="6913" max="6913" width="18" style="140" customWidth="1"/>
    <col min="6914" max="6914" width="2.33203125" style="140" customWidth="1"/>
    <col min="6915" max="6915" width="8.1640625" style="140" customWidth="1"/>
    <col min="6916" max="6916" width="2.33203125" style="140" customWidth="1"/>
    <col min="6917" max="6917" width="8.1640625" style="140" customWidth="1"/>
    <col min="6918" max="6918" width="2.33203125" style="140" customWidth="1"/>
    <col min="6919" max="6919" width="8.1640625" style="140" customWidth="1"/>
    <col min="6920" max="6920" width="2.33203125" style="140" customWidth="1"/>
    <col min="6921" max="6921" width="8.1640625" style="140" customWidth="1"/>
    <col min="6922" max="6922" width="2.33203125" style="140" customWidth="1"/>
    <col min="6923" max="6923" width="8.1640625" style="140" customWidth="1"/>
    <col min="6924" max="6924" width="1.5" style="140" bestFit="1" customWidth="1"/>
    <col min="6925" max="6925" width="1.6640625" style="140" customWidth="1"/>
    <col min="6926" max="6926" width="8.1640625" style="140" customWidth="1"/>
    <col min="6927" max="6927" width="2.33203125" style="140" customWidth="1"/>
    <col min="6928" max="6928" width="8.1640625" style="140" customWidth="1"/>
    <col min="6929" max="6929" width="2.33203125" style="140" customWidth="1"/>
    <col min="6930" max="6930" width="8.1640625" style="140" customWidth="1"/>
    <col min="6931" max="6931" width="2.33203125" style="140" customWidth="1"/>
    <col min="6932" max="6932" width="8.1640625" style="140" customWidth="1"/>
    <col min="6933" max="6933" width="2.33203125" style="140" customWidth="1"/>
    <col min="6934" max="6934" width="8.1640625" style="140" customWidth="1"/>
    <col min="6935" max="6935" width="2.33203125" style="140" customWidth="1"/>
    <col min="6936" max="7168" width="8.83203125" style="140" customWidth="1"/>
    <col min="7169" max="7169" width="18" style="140" customWidth="1"/>
    <col min="7170" max="7170" width="2.33203125" style="140" customWidth="1"/>
    <col min="7171" max="7171" width="8.1640625" style="140" customWidth="1"/>
    <col min="7172" max="7172" width="2.33203125" style="140" customWidth="1"/>
    <col min="7173" max="7173" width="8.1640625" style="140" customWidth="1"/>
    <col min="7174" max="7174" width="2.33203125" style="140" customWidth="1"/>
    <col min="7175" max="7175" width="8.1640625" style="140" customWidth="1"/>
    <col min="7176" max="7176" width="2.33203125" style="140" customWidth="1"/>
    <col min="7177" max="7177" width="8.1640625" style="140" customWidth="1"/>
    <col min="7178" max="7178" width="2.33203125" style="140" customWidth="1"/>
    <col min="7179" max="7179" width="8.1640625" style="140" customWidth="1"/>
    <col min="7180" max="7180" width="1.5" style="140" bestFit="1" customWidth="1"/>
    <col min="7181" max="7181" width="1.6640625" style="140" customWidth="1"/>
    <col min="7182" max="7182" width="8.1640625" style="140" customWidth="1"/>
    <col min="7183" max="7183" width="2.33203125" style="140" customWidth="1"/>
    <col min="7184" max="7184" width="8.1640625" style="140" customWidth="1"/>
    <col min="7185" max="7185" width="2.33203125" style="140" customWidth="1"/>
    <col min="7186" max="7186" width="8.1640625" style="140" customWidth="1"/>
    <col min="7187" max="7187" width="2.33203125" style="140" customWidth="1"/>
    <col min="7188" max="7188" width="8.1640625" style="140" customWidth="1"/>
    <col min="7189" max="7189" width="2.33203125" style="140" customWidth="1"/>
    <col min="7190" max="7190" width="8.1640625" style="140" customWidth="1"/>
    <col min="7191" max="7191" width="2.33203125" style="140" customWidth="1"/>
    <col min="7192" max="7424" width="8.83203125" style="140" customWidth="1"/>
    <col min="7425" max="7425" width="18" style="140" customWidth="1"/>
    <col min="7426" max="7426" width="2.33203125" style="140" customWidth="1"/>
    <col min="7427" max="7427" width="8.1640625" style="140" customWidth="1"/>
    <col min="7428" max="7428" width="2.33203125" style="140" customWidth="1"/>
    <col min="7429" max="7429" width="8.1640625" style="140" customWidth="1"/>
    <col min="7430" max="7430" width="2.33203125" style="140" customWidth="1"/>
    <col min="7431" max="7431" width="8.1640625" style="140" customWidth="1"/>
    <col min="7432" max="7432" width="2.33203125" style="140" customWidth="1"/>
    <col min="7433" max="7433" width="8.1640625" style="140" customWidth="1"/>
    <col min="7434" max="7434" width="2.33203125" style="140" customWidth="1"/>
    <col min="7435" max="7435" width="8.1640625" style="140" customWidth="1"/>
    <col min="7436" max="7436" width="1.5" style="140" bestFit="1" customWidth="1"/>
    <col min="7437" max="7437" width="1.6640625" style="140" customWidth="1"/>
    <col min="7438" max="7438" width="8.1640625" style="140" customWidth="1"/>
    <col min="7439" max="7439" width="2.33203125" style="140" customWidth="1"/>
    <col min="7440" max="7440" width="8.1640625" style="140" customWidth="1"/>
    <col min="7441" max="7441" width="2.33203125" style="140" customWidth="1"/>
    <col min="7442" max="7442" width="8.1640625" style="140" customWidth="1"/>
    <col min="7443" max="7443" width="2.33203125" style="140" customWidth="1"/>
    <col min="7444" max="7444" width="8.1640625" style="140" customWidth="1"/>
    <col min="7445" max="7445" width="2.33203125" style="140" customWidth="1"/>
    <col min="7446" max="7446" width="8.1640625" style="140" customWidth="1"/>
    <col min="7447" max="7447" width="2.33203125" style="140" customWidth="1"/>
    <col min="7448" max="7680" width="8.83203125" style="140" customWidth="1"/>
    <col min="7681" max="7681" width="18" style="140" customWidth="1"/>
    <col min="7682" max="7682" width="2.33203125" style="140" customWidth="1"/>
    <col min="7683" max="7683" width="8.1640625" style="140" customWidth="1"/>
    <col min="7684" max="7684" width="2.33203125" style="140" customWidth="1"/>
    <col min="7685" max="7685" width="8.1640625" style="140" customWidth="1"/>
    <col min="7686" max="7686" width="2.33203125" style="140" customWidth="1"/>
    <col min="7687" max="7687" width="8.1640625" style="140" customWidth="1"/>
    <col min="7688" max="7688" width="2.33203125" style="140" customWidth="1"/>
    <col min="7689" max="7689" width="8.1640625" style="140" customWidth="1"/>
    <col min="7690" max="7690" width="2.33203125" style="140" customWidth="1"/>
    <col min="7691" max="7691" width="8.1640625" style="140" customWidth="1"/>
    <col min="7692" max="7692" width="1.5" style="140" bestFit="1" customWidth="1"/>
    <col min="7693" max="7693" width="1.6640625" style="140" customWidth="1"/>
    <col min="7694" max="7694" width="8.1640625" style="140" customWidth="1"/>
    <col min="7695" max="7695" width="2.33203125" style="140" customWidth="1"/>
    <col min="7696" max="7696" width="8.1640625" style="140" customWidth="1"/>
    <col min="7697" max="7697" width="2.33203125" style="140" customWidth="1"/>
    <col min="7698" max="7698" width="8.1640625" style="140" customWidth="1"/>
    <col min="7699" max="7699" width="2.33203125" style="140" customWidth="1"/>
    <col min="7700" max="7700" width="8.1640625" style="140" customWidth="1"/>
    <col min="7701" max="7701" width="2.33203125" style="140" customWidth="1"/>
    <col min="7702" max="7702" width="8.1640625" style="140" customWidth="1"/>
    <col min="7703" max="7703" width="2.33203125" style="140" customWidth="1"/>
    <col min="7704" max="7936" width="8.83203125" style="140" customWidth="1"/>
    <col min="7937" max="7937" width="18" style="140" customWidth="1"/>
    <col min="7938" max="7938" width="2.33203125" style="140" customWidth="1"/>
    <col min="7939" max="7939" width="8.1640625" style="140" customWidth="1"/>
    <col min="7940" max="7940" width="2.33203125" style="140" customWidth="1"/>
    <col min="7941" max="7941" width="8.1640625" style="140" customWidth="1"/>
    <col min="7942" max="7942" width="2.33203125" style="140" customWidth="1"/>
    <col min="7943" max="7943" width="8.1640625" style="140" customWidth="1"/>
    <col min="7944" max="7944" width="2.33203125" style="140" customWidth="1"/>
    <col min="7945" max="7945" width="8.1640625" style="140" customWidth="1"/>
    <col min="7946" max="7946" width="2.33203125" style="140" customWidth="1"/>
    <col min="7947" max="7947" width="8.1640625" style="140" customWidth="1"/>
    <col min="7948" max="7948" width="1.5" style="140" bestFit="1" customWidth="1"/>
    <col min="7949" max="7949" width="1.6640625" style="140" customWidth="1"/>
    <col min="7950" max="7950" width="8.1640625" style="140" customWidth="1"/>
    <col min="7951" max="7951" width="2.33203125" style="140" customWidth="1"/>
    <col min="7952" max="7952" width="8.1640625" style="140" customWidth="1"/>
    <col min="7953" max="7953" width="2.33203125" style="140" customWidth="1"/>
    <col min="7954" max="7954" width="8.1640625" style="140" customWidth="1"/>
    <col min="7955" max="7955" width="2.33203125" style="140" customWidth="1"/>
    <col min="7956" max="7956" width="8.1640625" style="140" customWidth="1"/>
    <col min="7957" max="7957" width="2.33203125" style="140" customWidth="1"/>
    <col min="7958" max="7958" width="8.1640625" style="140" customWidth="1"/>
    <col min="7959" max="7959" width="2.33203125" style="140" customWidth="1"/>
    <col min="7960" max="8192" width="8.83203125" style="140" customWidth="1"/>
    <col min="8193" max="8193" width="18" style="140" customWidth="1"/>
    <col min="8194" max="8194" width="2.33203125" style="140" customWidth="1"/>
    <col min="8195" max="8195" width="8.1640625" style="140" customWidth="1"/>
    <col min="8196" max="8196" width="2.33203125" style="140" customWidth="1"/>
    <col min="8197" max="8197" width="8.1640625" style="140" customWidth="1"/>
    <col min="8198" max="8198" width="2.33203125" style="140" customWidth="1"/>
    <col min="8199" max="8199" width="8.1640625" style="140" customWidth="1"/>
    <col min="8200" max="8200" width="2.33203125" style="140" customWidth="1"/>
    <col min="8201" max="8201" width="8.1640625" style="140" customWidth="1"/>
    <col min="8202" max="8202" width="2.33203125" style="140" customWidth="1"/>
    <col min="8203" max="8203" width="8.1640625" style="140" customWidth="1"/>
    <col min="8204" max="8204" width="1.5" style="140" bestFit="1" customWidth="1"/>
    <col min="8205" max="8205" width="1.6640625" style="140" customWidth="1"/>
    <col min="8206" max="8206" width="8.1640625" style="140" customWidth="1"/>
    <col min="8207" max="8207" width="2.33203125" style="140" customWidth="1"/>
    <col min="8208" max="8208" width="8.1640625" style="140" customWidth="1"/>
    <col min="8209" max="8209" width="2.33203125" style="140" customWidth="1"/>
    <col min="8210" max="8210" width="8.1640625" style="140" customWidth="1"/>
    <col min="8211" max="8211" width="2.33203125" style="140" customWidth="1"/>
    <col min="8212" max="8212" width="8.1640625" style="140" customWidth="1"/>
    <col min="8213" max="8213" width="2.33203125" style="140" customWidth="1"/>
    <col min="8214" max="8214" width="8.1640625" style="140" customWidth="1"/>
    <col min="8215" max="8215" width="2.33203125" style="140" customWidth="1"/>
    <col min="8216" max="8448" width="8.83203125" style="140" customWidth="1"/>
    <col min="8449" max="8449" width="18" style="140" customWidth="1"/>
    <col min="8450" max="8450" width="2.33203125" style="140" customWidth="1"/>
    <col min="8451" max="8451" width="8.1640625" style="140" customWidth="1"/>
    <col min="8452" max="8452" width="2.33203125" style="140" customWidth="1"/>
    <col min="8453" max="8453" width="8.1640625" style="140" customWidth="1"/>
    <col min="8454" max="8454" width="2.33203125" style="140" customWidth="1"/>
    <col min="8455" max="8455" width="8.1640625" style="140" customWidth="1"/>
    <col min="8456" max="8456" width="2.33203125" style="140" customWidth="1"/>
    <col min="8457" max="8457" width="8.1640625" style="140" customWidth="1"/>
    <col min="8458" max="8458" width="2.33203125" style="140" customWidth="1"/>
    <col min="8459" max="8459" width="8.1640625" style="140" customWidth="1"/>
    <col min="8460" max="8460" width="1.5" style="140" bestFit="1" customWidth="1"/>
    <col min="8461" max="8461" width="1.6640625" style="140" customWidth="1"/>
    <col min="8462" max="8462" width="8.1640625" style="140" customWidth="1"/>
    <col min="8463" max="8463" width="2.33203125" style="140" customWidth="1"/>
    <col min="8464" max="8464" width="8.1640625" style="140" customWidth="1"/>
    <col min="8465" max="8465" width="2.33203125" style="140" customWidth="1"/>
    <col min="8466" max="8466" width="8.1640625" style="140" customWidth="1"/>
    <col min="8467" max="8467" width="2.33203125" style="140" customWidth="1"/>
    <col min="8468" max="8468" width="8.1640625" style="140" customWidth="1"/>
    <col min="8469" max="8469" width="2.33203125" style="140" customWidth="1"/>
    <col min="8470" max="8470" width="8.1640625" style="140" customWidth="1"/>
    <col min="8471" max="8471" width="2.33203125" style="140" customWidth="1"/>
    <col min="8472" max="8704" width="8.83203125" style="140" customWidth="1"/>
    <col min="8705" max="8705" width="18" style="140" customWidth="1"/>
    <col min="8706" max="8706" width="2.33203125" style="140" customWidth="1"/>
    <col min="8707" max="8707" width="8.1640625" style="140" customWidth="1"/>
    <col min="8708" max="8708" width="2.33203125" style="140" customWidth="1"/>
    <col min="8709" max="8709" width="8.1640625" style="140" customWidth="1"/>
    <col min="8710" max="8710" width="2.33203125" style="140" customWidth="1"/>
    <col min="8711" max="8711" width="8.1640625" style="140" customWidth="1"/>
    <col min="8712" max="8712" width="2.33203125" style="140" customWidth="1"/>
    <col min="8713" max="8713" width="8.1640625" style="140" customWidth="1"/>
    <col min="8714" max="8714" width="2.33203125" style="140" customWidth="1"/>
    <col min="8715" max="8715" width="8.1640625" style="140" customWidth="1"/>
    <col min="8716" max="8716" width="1.5" style="140" bestFit="1" customWidth="1"/>
    <col min="8717" max="8717" width="1.6640625" style="140" customWidth="1"/>
    <col min="8718" max="8718" width="8.1640625" style="140" customWidth="1"/>
    <col min="8719" max="8719" width="2.33203125" style="140" customWidth="1"/>
    <col min="8720" max="8720" width="8.1640625" style="140" customWidth="1"/>
    <col min="8721" max="8721" width="2.33203125" style="140" customWidth="1"/>
    <col min="8722" max="8722" width="8.1640625" style="140" customWidth="1"/>
    <col min="8723" max="8723" width="2.33203125" style="140" customWidth="1"/>
    <col min="8724" max="8724" width="8.1640625" style="140" customWidth="1"/>
    <col min="8725" max="8725" width="2.33203125" style="140" customWidth="1"/>
    <col min="8726" max="8726" width="8.1640625" style="140" customWidth="1"/>
    <col min="8727" max="8727" width="2.33203125" style="140" customWidth="1"/>
    <col min="8728" max="8960" width="8.83203125" style="140" customWidth="1"/>
    <col min="8961" max="8961" width="18" style="140" customWidth="1"/>
    <col min="8962" max="8962" width="2.33203125" style="140" customWidth="1"/>
    <col min="8963" max="8963" width="8.1640625" style="140" customWidth="1"/>
    <col min="8964" max="8964" width="2.33203125" style="140" customWidth="1"/>
    <col min="8965" max="8965" width="8.1640625" style="140" customWidth="1"/>
    <col min="8966" max="8966" width="2.33203125" style="140" customWidth="1"/>
    <col min="8967" max="8967" width="8.1640625" style="140" customWidth="1"/>
    <col min="8968" max="8968" width="2.33203125" style="140" customWidth="1"/>
    <col min="8969" max="8969" width="8.1640625" style="140" customWidth="1"/>
    <col min="8970" max="8970" width="2.33203125" style="140" customWidth="1"/>
    <col min="8971" max="8971" width="8.1640625" style="140" customWidth="1"/>
    <col min="8972" max="8972" width="1.5" style="140" bestFit="1" customWidth="1"/>
    <col min="8973" max="8973" width="1.6640625" style="140" customWidth="1"/>
    <col min="8974" max="8974" width="8.1640625" style="140" customWidth="1"/>
    <col min="8975" max="8975" width="2.33203125" style="140" customWidth="1"/>
    <col min="8976" max="8976" width="8.1640625" style="140" customWidth="1"/>
    <col min="8977" max="8977" width="2.33203125" style="140" customWidth="1"/>
    <col min="8978" max="8978" width="8.1640625" style="140" customWidth="1"/>
    <col min="8979" max="8979" width="2.33203125" style="140" customWidth="1"/>
    <col min="8980" max="8980" width="8.1640625" style="140" customWidth="1"/>
    <col min="8981" max="8981" width="2.33203125" style="140" customWidth="1"/>
    <col min="8982" max="8982" width="8.1640625" style="140" customWidth="1"/>
    <col min="8983" max="8983" width="2.33203125" style="140" customWidth="1"/>
    <col min="8984" max="9216" width="8.83203125" style="140" customWidth="1"/>
    <col min="9217" max="9217" width="18" style="140" customWidth="1"/>
    <col min="9218" max="9218" width="2.33203125" style="140" customWidth="1"/>
    <col min="9219" max="9219" width="8.1640625" style="140" customWidth="1"/>
    <col min="9220" max="9220" width="2.33203125" style="140" customWidth="1"/>
    <col min="9221" max="9221" width="8.1640625" style="140" customWidth="1"/>
    <col min="9222" max="9222" width="2.33203125" style="140" customWidth="1"/>
    <col min="9223" max="9223" width="8.1640625" style="140" customWidth="1"/>
    <col min="9224" max="9224" width="2.33203125" style="140" customWidth="1"/>
    <col min="9225" max="9225" width="8.1640625" style="140" customWidth="1"/>
    <col min="9226" max="9226" width="2.33203125" style="140" customWidth="1"/>
    <col min="9227" max="9227" width="8.1640625" style="140" customWidth="1"/>
    <col min="9228" max="9228" width="1.5" style="140" bestFit="1" customWidth="1"/>
    <col min="9229" max="9229" width="1.6640625" style="140" customWidth="1"/>
    <col min="9230" max="9230" width="8.1640625" style="140" customWidth="1"/>
    <col min="9231" max="9231" width="2.33203125" style="140" customWidth="1"/>
    <col min="9232" max="9232" width="8.1640625" style="140" customWidth="1"/>
    <col min="9233" max="9233" width="2.33203125" style="140" customWidth="1"/>
    <col min="9234" max="9234" width="8.1640625" style="140" customWidth="1"/>
    <col min="9235" max="9235" width="2.33203125" style="140" customWidth="1"/>
    <col min="9236" max="9236" width="8.1640625" style="140" customWidth="1"/>
    <col min="9237" max="9237" width="2.33203125" style="140" customWidth="1"/>
    <col min="9238" max="9238" width="8.1640625" style="140" customWidth="1"/>
    <col min="9239" max="9239" width="2.33203125" style="140" customWidth="1"/>
    <col min="9240" max="9472" width="8.83203125" style="140" customWidth="1"/>
    <col min="9473" max="9473" width="18" style="140" customWidth="1"/>
    <col min="9474" max="9474" width="2.33203125" style="140" customWidth="1"/>
    <col min="9475" max="9475" width="8.1640625" style="140" customWidth="1"/>
    <col min="9476" max="9476" width="2.33203125" style="140" customWidth="1"/>
    <col min="9477" max="9477" width="8.1640625" style="140" customWidth="1"/>
    <col min="9478" max="9478" width="2.33203125" style="140" customWidth="1"/>
    <col min="9479" max="9479" width="8.1640625" style="140" customWidth="1"/>
    <col min="9480" max="9480" width="2.33203125" style="140" customWidth="1"/>
    <col min="9481" max="9481" width="8.1640625" style="140" customWidth="1"/>
    <col min="9482" max="9482" width="2.33203125" style="140" customWidth="1"/>
    <col min="9483" max="9483" width="8.1640625" style="140" customWidth="1"/>
    <col min="9484" max="9484" width="1.5" style="140" bestFit="1" customWidth="1"/>
    <col min="9485" max="9485" width="1.6640625" style="140" customWidth="1"/>
    <col min="9486" max="9486" width="8.1640625" style="140" customWidth="1"/>
    <col min="9487" max="9487" width="2.33203125" style="140" customWidth="1"/>
    <col min="9488" max="9488" width="8.1640625" style="140" customWidth="1"/>
    <col min="9489" max="9489" width="2.33203125" style="140" customWidth="1"/>
    <col min="9490" max="9490" width="8.1640625" style="140" customWidth="1"/>
    <col min="9491" max="9491" width="2.33203125" style="140" customWidth="1"/>
    <col min="9492" max="9492" width="8.1640625" style="140" customWidth="1"/>
    <col min="9493" max="9493" width="2.33203125" style="140" customWidth="1"/>
    <col min="9494" max="9494" width="8.1640625" style="140" customWidth="1"/>
    <col min="9495" max="9495" width="2.33203125" style="140" customWidth="1"/>
    <col min="9496" max="9728" width="8.83203125" style="140" customWidth="1"/>
    <col min="9729" max="9729" width="18" style="140" customWidth="1"/>
    <col min="9730" max="9730" width="2.33203125" style="140" customWidth="1"/>
    <col min="9731" max="9731" width="8.1640625" style="140" customWidth="1"/>
    <col min="9732" max="9732" width="2.33203125" style="140" customWidth="1"/>
    <col min="9733" max="9733" width="8.1640625" style="140" customWidth="1"/>
    <col min="9734" max="9734" width="2.33203125" style="140" customWidth="1"/>
    <col min="9735" max="9735" width="8.1640625" style="140" customWidth="1"/>
    <col min="9736" max="9736" width="2.33203125" style="140" customWidth="1"/>
    <col min="9737" max="9737" width="8.1640625" style="140" customWidth="1"/>
    <col min="9738" max="9738" width="2.33203125" style="140" customWidth="1"/>
    <col min="9739" max="9739" width="8.1640625" style="140" customWidth="1"/>
    <col min="9740" max="9740" width="1.5" style="140" bestFit="1" customWidth="1"/>
    <col min="9741" max="9741" width="1.6640625" style="140" customWidth="1"/>
    <col min="9742" max="9742" width="8.1640625" style="140" customWidth="1"/>
    <col min="9743" max="9743" width="2.33203125" style="140" customWidth="1"/>
    <col min="9744" max="9744" width="8.1640625" style="140" customWidth="1"/>
    <col min="9745" max="9745" width="2.33203125" style="140" customWidth="1"/>
    <col min="9746" max="9746" width="8.1640625" style="140" customWidth="1"/>
    <col min="9747" max="9747" width="2.33203125" style="140" customWidth="1"/>
    <col min="9748" max="9748" width="8.1640625" style="140" customWidth="1"/>
    <col min="9749" max="9749" width="2.33203125" style="140" customWidth="1"/>
    <col min="9750" max="9750" width="8.1640625" style="140" customWidth="1"/>
    <col min="9751" max="9751" width="2.33203125" style="140" customWidth="1"/>
    <col min="9752" max="9984" width="8.83203125" style="140" customWidth="1"/>
    <col min="9985" max="9985" width="18" style="140" customWidth="1"/>
    <col min="9986" max="9986" width="2.33203125" style="140" customWidth="1"/>
    <col min="9987" max="9987" width="8.1640625" style="140" customWidth="1"/>
    <col min="9988" max="9988" width="2.33203125" style="140" customWidth="1"/>
    <col min="9989" max="9989" width="8.1640625" style="140" customWidth="1"/>
    <col min="9990" max="9990" width="2.33203125" style="140" customWidth="1"/>
    <col min="9991" max="9991" width="8.1640625" style="140" customWidth="1"/>
    <col min="9992" max="9992" width="2.33203125" style="140" customWidth="1"/>
    <col min="9993" max="9993" width="8.1640625" style="140" customWidth="1"/>
    <col min="9994" max="9994" width="2.33203125" style="140" customWidth="1"/>
    <col min="9995" max="9995" width="8.1640625" style="140" customWidth="1"/>
    <col min="9996" max="9996" width="1.5" style="140" bestFit="1" customWidth="1"/>
    <col min="9997" max="9997" width="1.6640625" style="140" customWidth="1"/>
    <col min="9998" max="9998" width="8.1640625" style="140" customWidth="1"/>
    <col min="9999" max="9999" width="2.33203125" style="140" customWidth="1"/>
    <col min="10000" max="10000" width="8.1640625" style="140" customWidth="1"/>
    <col min="10001" max="10001" width="2.33203125" style="140" customWidth="1"/>
    <col min="10002" max="10002" width="8.1640625" style="140" customWidth="1"/>
    <col min="10003" max="10003" width="2.33203125" style="140" customWidth="1"/>
    <col min="10004" max="10004" width="8.1640625" style="140" customWidth="1"/>
    <col min="10005" max="10005" width="2.33203125" style="140" customWidth="1"/>
    <col min="10006" max="10006" width="8.1640625" style="140" customWidth="1"/>
    <col min="10007" max="10007" width="2.33203125" style="140" customWidth="1"/>
    <col min="10008" max="10240" width="8.83203125" style="140" customWidth="1"/>
    <col min="10241" max="10241" width="18" style="140" customWidth="1"/>
    <col min="10242" max="10242" width="2.33203125" style="140" customWidth="1"/>
    <col min="10243" max="10243" width="8.1640625" style="140" customWidth="1"/>
    <col min="10244" max="10244" width="2.33203125" style="140" customWidth="1"/>
    <col min="10245" max="10245" width="8.1640625" style="140" customWidth="1"/>
    <col min="10246" max="10246" width="2.33203125" style="140" customWidth="1"/>
    <col min="10247" max="10247" width="8.1640625" style="140" customWidth="1"/>
    <col min="10248" max="10248" width="2.33203125" style="140" customWidth="1"/>
    <col min="10249" max="10249" width="8.1640625" style="140" customWidth="1"/>
    <col min="10250" max="10250" width="2.33203125" style="140" customWidth="1"/>
    <col min="10251" max="10251" width="8.1640625" style="140" customWidth="1"/>
    <col min="10252" max="10252" width="1.5" style="140" bestFit="1" customWidth="1"/>
    <col min="10253" max="10253" width="1.6640625" style="140" customWidth="1"/>
    <col min="10254" max="10254" width="8.1640625" style="140" customWidth="1"/>
    <col min="10255" max="10255" width="2.33203125" style="140" customWidth="1"/>
    <col min="10256" max="10256" width="8.1640625" style="140" customWidth="1"/>
    <col min="10257" max="10257" width="2.33203125" style="140" customWidth="1"/>
    <col min="10258" max="10258" width="8.1640625" style="140" customWidth="1"/>
    <col min="10259" max="10259" width="2.33203125" style="140" customWidth="1"/>
    <col min="10260" max="10260" width="8.1640625" style="140" customWidth="1"/>
    <col min="10261" max="10261" width="2.33203125" style="140" customWidth="1"/>
    <col min="10262" max="10262" width="8.1640625" style="140" customWidth="1"/>
    <col min="10263" max="10263" width="2.33203125" style="140" customWidth="1"/>
    <col min="10264" max="10496" width="8.83203125" style="140" customWidth="1"/>
    <col min="10497" max="10497" width="18" style="140" customWidth="1"/>
    <col min="10498" max="10498" width="2.33203125" style="140" customWidth="1"/>
    <col min="10499" max="10499" width="8.1640625" style="140" customWidth="1"/>
    <col min="10500" max="10500" width="2.33203125" style="140" customWidth="1"/>
    <col min="10501" max="10501" width="8.1640625" style="140" customWidth="1"/>
    <col min="10502" max="10502" width="2.33203125" style="140" customWidth="1"/>
    <col min="10503" max="10503" width="8.1640625" style="140" customWidth="1"/>
    <col min="10504" max="10504" width="2.33203125" style="140" customWidth="1"/>
    <col min="10505" max="10505" width="8.1640625" style="140" customWidth="1"/>
    <col min="10506" max="10506" width="2.33203125" style="140" customWidth="1"/>
    <col min="10507" max="10507" width="8.1640625" style="140" customWidth="1"/>
    <col min="10508" max="10508" width="1.5" style="140" bestFit="1" customWidth="1"/>
    <col min="10509" max="10509" width="1.6640625" style="140" customWidth="1"/>
    <col min="10510" max="10510" width="8.1640625" style="140" customWidth="1"/>
    <col min="10511" max="10511" width="2.33203125" style="140" customWidth="1"/>
    <col min="10512" max="10512" width="8.1640625" style="140" customWidth="1"/>
    <col min="10513" max="10513" width="2.33203125" style="140" customWidth="1"/>
    <col min="10514" max="10514" width="8.1640625" style="140" customWidth="1"/>
    <col min="10515" max="10515" width="2.33203125" style="140" customWidth="1"/>
    <col min="10516" max="10516" width="8.1640625" style="140" customWidth="1"/>
    <col min="10517" max="10517" width="2.33203125" style="140" customWidth="1"/>
    <col min="10518" max="10518" width="8.1640625" style="140" customWidth="1"/>
    <col min="10519" max="10519" width="2.33203125" style="140" customWidth="1"/>
    <col min="10520" max="10752" width="8.83203125" style="140" customWidth="1"/>
    <col min="10753" max="10753" width="18" style="140" customWidth="1"/>
    <col min="10754" max="10754" width="2.33203125" style="140" customWidth="1"/>
    <col min="10755" max="10755" width="8.1640625" style="140" customWidth="1"/>
    <col min="10756" max="10756" width="2.33203125" style="140" customWidth="1"/>
    <col min="10757" max="10757" width="8.1640625" style="140" customWidth="1"/>
    <col min="10758" max="10758" width="2.33203125" style="140" customWidth="1"/>
    <col min="10759" max="10759" width="8.1640625" style="140" customWidth="1"/>
    <col min="10760" max="10760" width="2.33203125" style="140" customWidth="1"/>
    <col min="10761" max="10761" width="8.1640625" style="140" customWidth="1"/>
    <col min="10762" max="10762" width="2.33203125" style="140" customWidth="1"/>
    <col min="10763" max="10763" width="8.1640625" style="140" customWidth="1"/>
    <col min="10764" max="10764" width="1.5" style="140" bestFit="1" customWidth="1"/>
    <col min="10765" max="10765" width="1.6640625" style="140" customWidth="1"/>
    <col min="10766" max="10766" width="8.1640625" style="140" customWidth="1"/>
    <col min="10767" max="10767" width="2.33203125" style="140" customWidth="1"/>
    <col min="10768" max="10768" width="8.1640625" style="140" customWidth="1"/>
    <col min="10769" max="10769" width="2.33203125" style="140" customWidth="1"/>
    <col min="10770" max="10770" width="8.1640625" style="140" customWidth="1"/>
    <col min="10771" max="10771" width="2.33203125" style="140" customWidth="1"/>
    <col min="10772" max="10772" width="8.1640625" style="140" customWidth="1"/>
    <col min="10773" max="10773" width="2.33203125" style="140" customWidth="1"/>
    <col min="10774" max="10774" width="8.1640625" style="140" customWidth="1"/>
    <col min="10775" max="10775" width="2.33203125" style="140" customWidth="1"/>
    <col min="10776" max="11008" width="8.83203125" style="140" customWidth="1"/>
    <col min="11009" max="11009" width="18" style="140" customWidth="1"/>
    <col min="11010" max="11010" width="2.33203125" style="140" customWidth="1"/>
    <col min="11011" max="11011" width="8.1640625" style="140" customWidth="1"/>
    <col min="11012" max="11012" width="2.33203125" style="140" customWidth="1"/>
    <col min="11013" max="11013" width="8.1640625" style="140" customWidth="1"/>
    <col min="11014" max="11014" width="2.33203125" style="140" customWidth="1"/>
    <col min="11015" max="11015" width="8.1640625" style="140" customWidth="1"/>
    <col min="11016" max="11016" width="2.33203125" style="140" customWidth="1"/>
    <col min="11017" max="11017" width="8.1640625" style="140" customWidth="1"/>
    <col min="11018" max="11018" width="2.33203125" style="140" customWidth="1"/>
    <col min="11019" max="11019" width="8.1640625" style="140" customWidth="1"/>
    <col min="11020" max="11020" width="1.5" style="140" bestFit="1" customWidth="1"/>
    <col min="11021" max="11021" width="1.6640625" style="140" customWidth="1"/>
    <col min="11022" max="11022" width="8.1640625" style="140" customWidth="1"/>
    <col min="11023" max="11023" width="2.33203125" style="140" customWidth="1"/>
    <col min="11024" max="11024" width="8.1640625" style="140" customWidth="1"/>
    <col min="11025" max="11025" width="2.33203125" style="140" customWidth="1"/>
    <col min="11026" max="11026" width="8.1640625" style="140" customWidth="1"/>
    <col min="11027" max="11027" width="2.33203125" style="140" customWidth="1"/>
    <col min="11028" max="11028" width="8.1640625" style="140" customWidth="1"/>
    <col min="11029" max="11029" width="2.33203125" style="140" customWidth="1"/>
    <col min="11030" max="11030" width="8.1640625" style="140" customWidth="1"/>
    <col min="11031" max="11031" width="2.33203125" style="140" customWidth="1"/>
    <col min="11032" max="11264" width="8.83203125" style="140" customWidth="1"/>
    <col min="11265" max="11265" width="18" style="140" customWidth="1"/>
    <col min="11266" max="11266" width="2.33203125" style="140" customWidth="1"/>
    <col min="11267" max="11267" width="8.1640625" style="140" customWidth="1"/>
    <col min="11268" max="11268" width="2.33203125" style="140" customWidth="1"/>
    <col min="11269" max="11269" width="8.1640625" style="140" customWidth="1"/>
    <col min="11270" max="11270" width="2.33203125" style="140" customWidth="1"/>
    <col min="11271" max="11271" width="8.1640625" style="140" customWidth="1"/>
    <col min="11272" max="11272" width="2.33203125" style="140" customWidth="1"/>
    <col min="11273" max="11273" width="8.1640625" style="140" customWidth="1"/>
    <col min="11274" max="11274" width="2.33203125" style="140" customWidth="1"/>
    <col min="11275" max="11275" width="8.1640625" style="140" customWidth="1"/>
    <col min="11276" max="11276" width="1.5" style="140" bestFit="1" customWidth="1"/>
    <col min="11277" max="11277" width="1.6640625" style="140" customWidth="1"/>
    <col min="11278" max="11278" width="8.1640625" style="140" customWidth="1"/>
    <col min="11279" max="11279" width="2.33203125" style="140" customWidth="1"/>
    <col min="11280" max="11280" width="8.1640625" style="140" customWidth="1"/>
    <col min="11281" max="11281" width="2.33203125" style="140" customWidth="1"/>
    <col min="11282" max="11282" width="8.1640625" style="140" customWidth="1"/>
    <col min="11283" max="11283" width="2.33203125" style="140" customWidth="1"/>
    <col min="11284" max="11284" width="8.1640625" style="140" customWidth="1"/>
    <col min="11285" max="11285" width="2.33203125" style="140" customWidth="1"/>
    <col min="11286" max="11286" width="8.1640625" style="140" customWidth="1"/>
    <col min="11287" max="11287" width="2.33203125" style="140" customWidth="1"/>
    <col min="11288" max="11520" width="8.83203125" style="140" customWidth="1"/>
    <col min="11521" max="11521" width="18" style="140" customWidth="1"/>
    <col min="11522" max="11522" width="2.33203125" style="140" customWidth="1"/>
    <col min="11523" max="11523" width="8.1640625" style="140" customWidth="1"/>
    <col min="11524" max="11524" width="2.33203125" style="140" customWidth="1"/>
    <col min="11525" max="11525" width="8.1640625" style="140" customWidth="1"/>
    <col min="11526" max="11526" width="2.33203125" style="140" customWidth="1"/>
    <col min="11527" max="11527" width="8.1640625" style="140" customWidth="1"/>
    <col min="11528" max="11528" width="2.33203125" style="140" customWidth="1"/>
    <col min="11529" max="11529" width="8.1640625" style="140" customWidth="1"/>
    <col min="11530" max="11530" width="2.33203125" style="140" customWidth="1"/>
    <col min="11531" max="11531" width="8.1640625" style="140" customWidth="1"/>
    <col min="11532" max="11532" width="1.5" style="140" bestFit="1" customWidth="1"/>
    <col min="11533" max="11533" width="1.6640625" style="140" customWidth="1"/>
    <col min="11534" max="11534" width="8.1640625" style="140" customWidth="1"/>
    <col min="11535" max="11535" width="2.33203125" style="140" customWidth="1"/>
    <col min="11536" max="11536" width="8.1640625" style="140" customWidth="1"/>
    <col min="11537" max="11537" width="2.33203125" style="140" customWidth="1"/>
    <col min="11538" max="11538" width="8.1640625" style="140" customWidth="1"/>
    <col min="11539" max="11539" width="2.33203125" style="140" customWidth="1"/>
    <col min="11540" max="11540" width="8.1640625" style="140" customWidth="1"/>
    <col min="11541" max="11541" width="2.33203125" style="140" customWidth="1"/>
    <col min="11542" max="11542" width="8.1640625" style="140" customWidth="1"/>
    <col min="11543" max="11543" width="2.33203125" style="140" customWidth="1"/>
    <col min="11544" max="11776" width="8.83203125" style="140" customWidth="1"/>
    <col min="11777" max="11777" width="18" style="140" customWidth="1"/>
    <col min="11778" max="11778" width="2.33203125" style="140" customWidth="1"/>
    <col min="11779" max="11779" width="8.1640625" style="140" customWidth="1"/>
    <col min="11780" max="11780" width="2.33203125" style="140" customWidth="1"/>
    <col min="11781" max="11781" width="8.1640625" style="140" customWidth="1"/>
    <col min="11782" max="11782" width="2.33203125" style="140" customWidth="1"/>
    <col min="11783" max="11783" width="8.1640625" style="140" customWidth="1"/>
    <col min="11784" max="11784" width="2.33203125" style="140" customWidth="1"/>
    <col min="11785" max="11785" width="8.1640625" style="140" customWidth="1"/>
    <col min="11786" max="11786" width="2.33203125" style="140" customWidth="1"/>
    <col min="11787" max="11787" width="8.1640625" style="140" customWidth="1"/>
    <col min="11788" max="11788" width="1.5" style="140" bestFit="1" customWidth="1"/>
    <col min="11789" max="11789" width="1.6640625" style="140" customWidth="1"/>
    <col min="11790" max="11790" width="8.1640625" style="140" customWidth="1"/>
    <col min="11791" max="11791" width="2.33203125" style="140" customWidth="1"/>
    <col min="11792" max="11792" width="8.1640625" style="140" customWidth="1"/>
    <col min="11793" max="11793" width="2.33203125" style="140" customWidth="1"/>
    <col min="11794" max="11794" width="8.1640625" style="140" customWidth="1"/>
    <col min="11795" max="11795" width="2.33203125" style="140" customWidth="1"/>
    <col min="11796" max="11796" width="8.1640625" style="140" customWidth="1"/>
    <col min="11797" max="11797" width="2.33203125" style="140" customWidth="1"/>
    <col min="11798" max="11798" width="8.1640625" style="140" customWidth="1"/>
    <col min="11799" max="11799" width="2.33203125" style="140" customWidth="1"/>
    <col min="11800" max="12032" width="8.83203125" style="140" customWidth="1"/>
    <col min="12033" max="12033" width="18" style="140" customWidth="1"/>
    <col min="12034" max="12034" width="2.33203125" style="140" customWidth="1"/>
    <col min="12035" max="12035" width="8.1640625" style="140" customWidth="1"/>
    <col min="12036" max="12036" width="2.33203125" style="140" customWidth="1"/>
    <col min="12037" max="12037" width="8.1640625" style="140" customWidth="1"/>
    <col min="12038" max="12038" width="2.33203125" style="140" customWidth="1"/>
    <col min="12039" max="12039" width="8.1640625" style="140" customWidth="1"/>
    <col min="12040" max="12040" width="2.33203125" style="140" customWidth="1"/>
    <col min="12041" max="12041" width="8.1640625" style="140" customWidth="1"/>
    <col min="12042" max="12042" width="2.33203125" style="140" customWidth="1"/>
    <col min="12043" max="12043" width="8.1640625" style="140" customWidth="1"/>
    <col min="12044" max="12044" width="1.5" style="140" bestFit="1" customWidth="1"/>
    <col min="12045" max="12045" width="1.6640625" style="140" customWidth="1"/>
    <col min="12046" max="12046" width="8.1640625" style="140" customWidth="1"/>
    <col min="12047" max="12047" width="2.33203125" style="140" customWidth="1"/>
    <col min="12048" max="12048" width="8.1640625" style="140" customWidth="1"/>
    <col min="12049" max="12049" width="2.33203125" style="140" customWidth="1"/>
    <col min="12050" max="12050" width="8.1640625" style="140" customWidth="1"/>
    <col min="12051" max="12051" width="2.33203125" style="140" customWidth="1"/>
    <col min="12052" max="12052" width="8.1640625" style="140" customWidth="1"/>
    <col min="12053" max="12053" width="2.33203125" style="140" customWidth="1"/>
    <col min="12054" max="12054" width="8.1640625" style="140" customWidth="1"/>
    <col min="12055" max="12055" width="2.33203125" style="140" customWidth="1"/>
    <col min="12056" max="12288" width="8.83203125" style="140" customWidth="1"/>
    <col min="12289" max="12289" width="18" style="140" customWidth="1"/>
    <col min="12290" max="12290" width="2.33203125" style="140" customWidth="1"/>
    <col min="12291" max="12291" width="8.1640625" style="140" customWidth="1"/>
    <col min="12292" max="12292" width="2.33203125" style="140" customWidth="1"/>
    <col min="12293" max="12293" width="8.1640625" style="140" customWidth="1"/>
    <col min="12294" max="12294" width="2.33203125" style="140" customWidth="1"/>
    <col min="12295" max="12295" width="8.1640625" style="140" customWidth="1"/>
    <col min="12296" max="12296" width="2.33203125" style="140" customWidth="1"/>
    <col min="12297" max="12297" width="8.1640625" style="140" customWidth="1"/>
    <col min="12298" max="12298" width="2.33203125" style="140" customWidth="1"/>
    <col min="12299" max="12299" width="8.1640625" style="140" customWidth="1"/>
    <col min="12300" max="12300" width="1.5" style="140" bestFit="1" customWidth="1"/>
    <col min="12301" max="12301" width="1.6640625" style="140" customWidth="1"/>
    <col min="12302" max="12302" width="8.1640625" style="140" customWidth="1"/>
    <col min="12303" max="12303" width="2.33203125" style="140" customWidth="1"/>
    <col min="12304" max="12304" width="8.1640625" style="140" customWidth="1"/>
    <col min="12305" max="12305" width="2.33203125" style="140" customWidth="1"/>
    <col min="12306" max="12306" width="8.1640625" style="140" customWidth="1"/>
    <col min="12307" max="12307" width="2.33203125" style="140" customWidth="1"/>
    <col min="12308" max="12308" width="8.1640625" style="140" customWidth="1"/>
    <col min="12309" max="12309" width="2.33203125" style="140" customWidth="1"/>
    <col min="12310" max="12310" width="8.1640625" style="140" customWidth="1"/>
    <col min="12311" max="12311" width="2.33203125" style="140" customWidth="1"/>
    <col min="12312" max="12544" width="8.83203125" style="140" customWidth="1"/>
    <col min="12545" max="12545" width="18" style="140" customWidth="1"/>
    <col min="12546" max="12546" width="2.33203125" style="140" customWidth="1"/>
    <col min="12547" max="12547" width="8.1640625" style="140" customWidth="1"/>
    <col min="12548" max="12548" width="2.33203125" style="140" customWidth="1"/>
    <col min="12549" max="12549" width="8.1640625" style="140" customWidth="1"/>
    <col min="12550" max="12550" width="2.33203125" style="140" customWidth="1"/>
    <col min="12551" max="12551" width="8.1640625" style="140" customWidth="1"/>
    <col min="12552" max="12552" width="2.33203125" style="140" customWidth="1"/>
    <col min="12553" max="12553" width="8.1640625" style="140" customWidth="1"/>
    <col min="12554" max="12554" width="2.33203125" style="140" customWidth="1"/>
    <col min="12555" max="12555" width="8.1640625" style="140" customWidth="1"/>
    <col min="12556" max="12556" width="1.5" style="140" bestFit="1" customWidth="1"/>
    <col min="12557" max="12557" width="1.6640625" style="140" customWidth="1"/>
    <col min="12558" max="12558" width="8.1640625" style="140" customWidth="1"/>
    <col min="12559" max="12559" width="2.33203125" style="140" customWidth="1"/>
    <col min="12560" max="12560" width="8.1640625" style="140" customWidth="1"/>
    <col min="12561" max="12561" width="2.33203125" style="140" customWidth="1"/>
    <col min="12562" max="12562" width="8.1640625" style="140" customWidth="1"/>
    <col min="12563" max="12563" width="2.33203125" style="140" customWidth="1"/>
    <col min="12564" max="12564" width="8.1640625" style="140" customWidth="1"/>
    <col min="12565" max="12565" width="2.33203125" style="140" customWidth="1"/>
    <col min="12566" max="12566" width="8.1640625" style="140" customWidth="1"/>
    <col min="12567" max="12567" width="2.33203125" style="140" customWidth="1"/>
    <col min="12568" max="12800" width="8.83203125" style="140" customWidth="1"/>
    <col min="12801" max="12801" width="18" style="140" customWidth="1"/>
    <col min="12802" max="12802" width="2.33203125" style="140" customWidth="1"/>
    <col min="12803" max="12803" width="8.1640625" style="140" customWidth="1"/>
    <col min="12804" max="12804" width="2.33203125" style="140" customWidth="1"/>
    <col min="12805" max="12805" width="8.1640625" style="140" customWidth="1"/>
    <col min="12806" max="12806" width="2.33203125" style="140" customWidth="1"/>
    <col min="12807" max="12807" width="8.1640625" style="140" customWidth="1"/>
    <col min="12808" max="12808" width="2.33203125" style="140" customWidth="1"/>
    <col min="12809" max="12809" width="8.1640625" style="140" customWidth="1"/>
    <col min="12810" max="12810" width="2.33203125" style="140" customWidth="1"/>
    <col min="12811" max="12811" width="8.1640625" style="140" customWidth="1"/>
    <col min="12812" max="12812" width="1.5" style="140" bestFit="1" customWidth="1"/>
    <col min="12813" max="12813" width="1.6640625" style="140" customWidth="1"/>
    <col min="12814" max="12814" width="8.1640625" style="140" customWidth="1"/>
    <col min="12815" max="12815" width="2.33203125" style="140" customWidth="1"/>
    <col min="12816" max="12816" width="8.1640625" style="140" customWidth="1"/>
    <col min="12817" max="12817" width="2.33203125" style="140" customWidth="1"/>
    <col min="12818" max="12818" width="8.1640625" style="140" customWidth="1"/>
    <col min="12819" max="12819" width="2.33203125" style="140" customWidth="1"/>
    <col min="12820" max="12820" width="8.1640625" style="140" customWidth="1"/>
    <col min="12821" max="12821" width="2.33203125" style="140" customWidth="1"/>
    <col min="12822" max="12822" width="8.1640625" style="140" customWidth="1"/>
    <col min="12823" max="12823" width="2.33203125" style="140" customWidth="1"/>
    <col min="12824" max="13056" width="8.83203125" style="140" customWidth="1"/>
    <col min="13057" max="13057" width="18" style="140" customWidth="1"/>
    <col min="13058" max="13058" width="2.33203125" style="140" customWidth="1"/>
    <col min="13059" max="13059" width="8.1640625" style="140" customWidth="1"/>
    <col min="13060" max="13060" width="2.33203125" style="140" customWidth="1"/>
    <col min="13061" max="13061" width="8.1640625" style="140" customWidth="1"/>
    <col min="13062" max="13062" width="2.33203125" style="140" customWidth="1"/>
    <col min="13063" max="13063" width="8.1640625" style="140" customWidth="1"/>
    <col min="13064" max="13064" width="2.33203125" style="140" customWidth="1"/>
    <col min="13065" max="13065" width="8.1640625" style="140" customWidth="1"/>
    <col min="13066" max="13066" width="2.33203125" style="140" customWidth="1"/>
    <col min="13067" max="13067" width="8.1640625" style="140" customWidth="1"/>
    <col min="13068" max="13068" width="1.5" style="140" bestFit="1" customWidth="1"/>
    <col min="13069" max="13069" width="1.6640625" style="140" customWidth="1"/>
    <col min="13070" max="13070" width="8.1640625" style="140" customWidth="1"/>
    <col min="13071" max="13071" width="2.33203125" style="140" customWidth="1"/>
    <col min="13072" max="13072" width="8.1640625" style="140" customWidth="1"/>
    <col min="13073" max="13073" width="2.33203125" style="140" customWidth="1"/>
    <col min="13074" max="13074" width="8.1640625" style="140" customWidth="1"/>
    <col min="13075" max="13075" width="2.33203125" style="140" customWidth="1"/>
    <col min="13076" max="13076" width="8.1640625" style="140" customWidth="1"/>
    <col min="13077" max="13077" width="2.33203125" style="140" customWidth="1"/>
    <col min="13078" max="13078" width="8.1640625" style="140" customWidth="1"/>
    <col min="13079" max="13079" width="2.33203125" style="140" customWidth="1"/>
    <col min="13080" max="13312" width="8.83203125" style="140" customWidth="1"/>
    <col min="13313" max="13313" width="18" style="140" customWidth="1"/>
    <col min="13314" max="13314" width="2.33203125" style="140" customWidth="1"/>
    <col min="13315" max="13315" width="8.1640625" style="140" customWidth="1"/>
    <col min="13316" max="13316" width="2.33203125" style="140" customWidth="1"/>
    <col min="13317" max="13317" width="8.1640625" style="140" customWidth="1"/>
    <col min="13318" max="13318" width="2.33203125" style="140" customWidth="1"/>
    <col min="13319" max="13319" width="8.1640625" style="140" customWidth="1"/>
    <col min="13320" max="13320" width="2.33203125" style="140" customWidth="1"/>
    <col min="13321" max="13321" width="8.1640625" style="140" customWidth="1"/>
    <col min="13322" max="13322" width="2.33203125" style="140" customWidth="1"/>
    <col min="13323" max="13323" width="8.1640625" style="140" customWidth="1"/>
    <col min="13324" max="13324" width="1.5" style="140" bestFit="1" customWidth="1"/>
    <col min="13325" max="13325" width="1.6640625" style="140" customWidth="1"/>
    <col min="13326" max="13326" width="8.1640625" style="140" customWidth="1"/>
    <col min="13327" max="13327" width="2.33203125" style="140" customWidth="1"/>
    <col min="13328" max="13328" width="8.1640625" style="140" customWidth="1"/>
    <col min="13329" max="13329" width="2.33203125" style="140" customWidth="1"/>
    <col min="13330" max="13330" width="8.1640625" style="140" customWidth="1"/>
    <col min="13331" max="13331" width="2.33203125" style="140" customWidth="1"/>
    <col min="13332" max="13332" width="8.1640625" style="140" customWidth="1"/>
    <col min="13333" max="13333" width="2.33203125" style="140" customWidth="1"/>
    <col min="13334" max="13334" width="8.1640625" style="140" customWidth="1"/>
    <col min="13335" max="13335" width="2.33203125" style="140" customWidth="1"/>
    <col min="13336" max="13568" width="8.83203125" style="140" customWidth="1"/>
    <col min="13569" max="13569" width="18" style="140" customWidth="1"/>
    <col min="13570" max="13570" width="2.33203125" style="140" customWidth="1"/>
    <col min="13571" max="13571" width="8.1640625" style="140" customWidth="1"/>
    <col min="13572" max="13572" width="2.33203125" style="140" customWidth="1"/>
    <col min="13573" max="13573" width="8.1640625" style="140" customWidth="1"/>
    <col min="13574" max="13574" width="2.33203125" style="140" customWidth="1"/>
    <col min="13575" max="13575" width="8.1640625" style="140" customWidth="1"/>
    <col min="13576" max="13576" width="2.33203125" style="140" customWidth="1"/>
    <col min="13577" max="13577" width="8.1640625" style="140" customWidth="1"/>
    <col min="13578" max="13578" width="2.33203125" style="140" customWidth="1"/>
    <col min="13579" max="13579" width="8.1640625" style="140" customWidth="1"/>
    <col min="13580" max="13580" width="1.5" style="140" bestFit="1" customWidth="1"/>
    <col min="13581" max="13581" width="1.6640625" style="140" customWidth="1"/>
    <col min="13582" max="13582" width="8.1640625" style="140" customWidth="1"/>
    <col min="13583" max="13583" width="2.33203125" style="140" customWidth="1"/>
    <col min="13584" max="13584" width="8.1640625" style="140" customWidth="1"/>
    <col min="13585" max="13585" width="2.33203125" style="140" customWidth="1"/>
    <col min="13586" max="13586" width="8.1640625" style="140" customWidth="1"/>
    <col min="13587" max="13587" width="2.33203125" style="140" customWidth="1"/>
    <col min="13588" max="13588" width="8.1640625" style="140" customWidth="1"/>
    <col min="13589" max="13589" width="2.33203125" style="140" customWidth="1"/>
    <col min="13590" max="13590" width="8.1640625" style="140" customWidth="1"/>
    <col min="13591" max="13591" width="2.33203125" style="140" customWidth="1"/>
    <col min="13592" max="13824" width="8.83203125" style="140" customWidth="1"/>
    <col min="13825" max="13825" width="18" style="140" customWidth="1"/>
    <col min="13826" max="13826" width="2.33203125" style="140" customWidth="1"/>
    <col min="13827" max="13827" width="8.1640625" style="140" customWidth="1"/>
    <col min="13828" max="13828" width="2.33203125" style="140" customWidth="1"/>
    <col min="13829" max="13829" width="8.1640625" style="140" customWidth="1"/>
    <col min="13830" max="13830" width="2.33203125" style="140" customWidth="1"/>
    <col min="13831" max="13831" width="8.1640625" style="140" customWidth="1"/>
    <col min="13832" max="13832" width="2.33203125" style="140" customWidth="1"/>
    <col min="13833" max="13833" width="8.1640625" style="140" customWidth="1"/>
    <col min="13834" max="13834" width="2.33203125" style="140" customWidth="1"/>
    <col min="13835" max="13835" width="8.1640625" style="140" customWidth="1"/>
    <col min="13836" max="13836" width="1.5" style="140" bestFit="1" customWidth="1"/>
    <col min="13837" max="13837" width="1.6640625" style="140" customWidth="1"/>
    <col min="13838" max="13838" width="8.1640625" style="140" customWidth="1"/>
    <col min="13839" max="13839" width="2.33203125" style="140" customWidth="1"/>
    <col min="13840" max="13840" width="8.1640625" style="140" customWidth="1"/>
    <col min="13841" max="13841" width="2.33203125" style="140" customWidth="1"/>
    <col min="13842" max="13842" width="8.1640625" style="140" customWidth="1"/>
    <col min="13843" max="13843" width="2.33203125" style="140" customWidth="1"/>
    <col min="13844" max="13844" width="8.1640625" style="140" customWidth="1"/>
    <col min="13845" max="13845" width="2.33203125" style="140" customWidth="1"/>
    <col min="13846" max="13846" width="8.1640625" style="140" customWidth="1"/>
    <col min="13847" max="13847" width="2.33203125" style="140" customWidth="1"/>
    <col min="13848" max="14080" width="8.83203125" style="140" customWidth="1"/>
    <col min="14081" max="14081" width="18" style="140" customWidth="1"/>
    <col min="14082" max="14082" width="2.33203125" style="140" customWidth="1"/>
    <col min="14083" max="14083" width="8.1640625" style="140" customWidth="1"/>
    <col min="14084" max="14084" width="2.33203125" style="140" customWidth="1"/>
    <col min="14085" max="14085" width="8.1640625" style="140" customWidth="1"/>
    <col min="14086" max="14086" width="2.33203125" style="140" customWidth="1"/>
    <col min="14087" max="14087" width="8.1640625" style="140" customWidth="1"/>
    <col min="14088" max="14088" width="2.33203125" style="140" customWidth="1"/>
    <col min="14089" max="14089" width="8.1640625" style="140" customWidth="1"/>
    <col min="14090" max="14090" width="2.33203125" style="140" customWidth="1"/>
    <col min="14091" max="14091" width="8.1640625" style="140" customWidth="1"/>
    <col min="14092" max="14092" width="1.5" style="140" bestFit="1" customWidth="1"/>
    <col min="14093" max="14093" width="1.6640625" style="140" customWidth="1"/>
    <col min="14094" max="14094" width="8.1640625" style="140" customWidth="1"/>
    <col min="14095" max="14095" width="2.33203125" style="140" customWidth="1"/>
    <col min="14096" max="14096" width="8.1640625" style="140" customWidth="1"/>
    <col min="14097" max="14097" width="2.33203125" style="140" customWidth="1"/>
    <col min="14098" max="14098" width="8.1640625" style="140" customWidth="1"/>
    <col min="14099" max="14099" width="2.33203125" style="140" customWidth="1"/>
    <col min="14100" max="14100" width="8.1640625" style="140" customWidth="1"/>
    <col min="14101" max="14101" width="2.33203125" style="140" customWidth="1"/>
    <col min="14102" max="14102" width="8.1640625" style="140" customWidth="1"/>
    <col min="14103" max="14103" width="2.33203125" style="140" customWidth="1"/>
    <col min="14104" max="14336" width="8.83203125" style="140" customWidth="1"/>
    <col min="14337" max="14337" width="18" style="140" customWidth="1"/>
    <col min="14338" max="14338" width="2.33203125" style="140" customWidth="1"/>
    <col min="14339" max="14339" width="8.1640625" style="140" customWidth="1"/>
    <col min="14340" max="14340" width="2.33203125" style="140" customWidth="1"/>
    <col min="14341" max="14341" width="8.1640625" style="140" customWidth="1"/>
    <col min="14342" max="14342" width="2.33203125" style="140" customWidth="1"/>
    <col min="14343" max="14343" width="8.1640625" style="140" customWidth="1"/>
    <col min="14344" max="14344" width="2.33203125" style="140" customWidth="1"/>
    <col min="14345" max="14345" width="8.1640625" style="140" customWidth="1"/>
    <col min="14346" max="14346" width="2.33203125" style="140" customWidth="1"/>
    <col min="14347" max="14347" width="8.1640625" style="140" customWidth="1"/>
    <col min="14348" max="14348" width="1.5" style="140" bestFit="1" customWidth="1"/>
    <col min="14349" max="14349" width="1.6640625" style="140" customWidth="1"/>
    <col min="14350" max="14350" width="8.1640625" style="140" customWidth="1"/>
    <col min="14351" max="14351" width="2.33203125" style="140" customWidth="1"/>
    <col min="14352" max="14352" width="8.1640625" style="140" customWidth="1"/>
    <col min="14353" max="14353" width="2.33203125" style="140" customWidth="1"/>
    <col min="14354" max="14354" width="8.1640625" style="140" customWidth="1"/>
    <col min="14355" max="14355" width="2.33203125" style="140" customWidth="1"/>
    <col min="14356" max="14356" width="8.1640625" style="140" customWidth="1"/>
    <col min="14357" max="14357" width="2.33203125" style="140" customWidth="1"/>
    <col min="14358" max="14358" width="8.1640625" style="140" customWidth="1"/>
    <col min="14359" max="14359" width="2.33203125" style="140" customWidth="1"/>
    <col min="14360" max="14592" width="8.83203125" style="140" customWidth="1"/>
    <col min="14593" max="14593" width="18" style="140" customWidth="1"/>
    <col min="14594" max="14594" width="2.33203125" style="140" customWidth="1"/>
    <col min="14595" max="14595" width="8.1640625" style="140" customWidth="1"/>
    <col min="14596" max="14596" width="2.33203125" style="140" customWidth="1"/>
    <col min="14597" max="14597" width="8.1640625" style="140" customWidth="1"/>
    <col min="14598" max="14598" width="2.33203125" style="140" customWidth="1"/>
    <col min="14599" max="14599" width="8.1640625" style="140" customWidth="1"/>
    <col min="14600" max="14600" width="2.33203125" style="140" customWidth="1"/>
    <col min="14601" max="14601" width="8.1640625" style="140" customWidth="1"/>
    <col min="14602" max="14602" width="2.33203125" style="140" customWidth="1"/>
    <col min="14603" max="14603" width="8.1640625" style="140" customWidth="1"/>
    <col min="14604" max="14604" width="1.5" style="140" bestFit="1" customWidth="1"/>
    <col min="14605" max="14605" width="1.6640625" style="140" customWidth="1"/>
    <col min="14606" max="14606" width="8.1640625" style="140" customWidth="1"/>
    <col min="14607" max="14607" width="2.33203125" style="140" customWidth="1"/>
    <col min="14608" max="14608" width="8.1640625" style="140" customWidth="1"/>
    <col min="14609" max="14609" width="2.33203125" style="140" customWidth="1"/>
    <col min="14610" max="14610" width="8.1640625" style="140" customWidth="1"/>
    <col min="14611" max="14611" width="2.33203125" style="140" customWidth="1"/>
    <col min="14612" max="14612" width="8.1640625" style="140" customWidth="1"/>
    <col min="14613" max="14613" width="2.33203125" style="140" customWidth="1"/>
    <col min="14614" max="14614" width="8.1640625" style="140" customWidth="1"/>
    <col min="14615" max="14615" width="2.33203125" style="140" customWidth="1"/>
    <col min="14616" max="14848" width="8.83203125" style="140" customWidth="1"/>
    <col min="14849" max="14849" width="18" style="140" customWidth="1"/>
    <col min="14850" max="14850" width="2.33203125" style="140" customWidth="1"/>
    <col min="14851" max="14851" width="8.1640625" style="140" customWidth="1"/>
    <col min="14852" max="14852" width="2.33203125" style="140" customWidth="1"/>
    <col min="14853" max="14853" width="8.1640625" style="140" customWidth="1"/>
    <col min="14854" max="14854" width="2.33203125" style="140" customWidth="1"/>
    <col min="14855" max="14855" width="8.1640625" style="140" customWidth="1"/>
    <col min="14856" max="14856" width="2.33203125" style="140" customWidth="1"/>
    <col min="14857" max="14857" width="8.1640625" style="140" customWidth="1"/>
    <col min="14858" max="14858" width="2.33203125" style="140" customWidth="1"/>
    <col min="14859" max="14859" width="8.1640625" style="140" customWidth="1"/>
    <col min="14860" max="14860" width="1.5" style="140" bestFit="1" customWidth="1"/>
    <col min="14861" max="14861" width="1.6640625" style="140" customWidth="1"/>
    <col min="14862" max="14862" width="8.1640625" style="140" customWidth="1"/>
    <col min="14863" max="14863" width="2.33203125" style="140" customWidth="1"/>
    <col min="14864" max="14864" width="8.1640625" style="140" customWidth="1"/>
    <col min="14865" max="14865" width="2.33203125" style="140" customWidth="1"/>
    <col min="14866" max="14866" width="8.1640625" style="140" customWidth="1"/>
    <col min="14867" max="14867" width="2.33203125" style="140" customWidth="1"/>
    <col min="14868" max="14868" width="8.1640625" style="140" customWidth="1"/>
    <col min="14869" max="14869" width="2.33203125" style="140" customWidth="1"/>
    <col min="14870" max="14870" width="8.1640625" style="140" customWidth="1"/>
    <col min="14871" max="14871" width="2.33203125" style="140" customWidth="1"/>
    <col min="14872" max="15104" width="8.83203125" style="140" customWidth="1"/>
    <col min="15105" max="15105" width="18" style="140" customWidth="1"/>
    <col min="15106" max="15106" width="2.33203125" style="140" customWidth="1"/>
    <col min="15107" max="15107" width="8.1640625" style="140" customWidth="1"/>
    <col min="15108" max="15108" width="2.33203125" style="140" customWidth="1"/>
    <col min="15109" max="15109" width="8.1640625" style="140" customWidth="1"/>
    <col min="15110" max="15110" width="2.33203125" style="140" customWidth="1"/>
    <col min="15111" max="15111" width="8.1640625" style="140" customWidth="1"/>
    <col min="15112" max="15112" width="2.33203125" style="140" customWidth="1"/>
    <col min="15113" max="15113" width="8.1640625" style="140" customWidth="1"/>
    <col min="15114" max="15114" width="2.33203125" style="140" customWidth="1"/>
    <col min="15115" max="15115" width="8.1640625" style="140" customWidth="1"/>
    <col min="15116" max="15116" width="1.5" style="140" bestFit="1" customWidth="1"/>
    <col min="15117" max="15117" width="1.6640625" style="140" customWidth="1"/>
    <col min="15118" max="15118" width="8.1640625" style="140" customWidth="1"/>
    <col min="15119" max="15119" width="2.33203125" style="140" customWidth="1"/>
    <col min="15120" max="15120" width="8.1640625" style="140" customWidth="1"/>
    <col min="15121" max="15121" width="2.33203125" style="140" customWidth="1"/>
    <col min="15122" max="15122" width="8.1640625" style="140" customWidth="1"/>
    <col min="15123" max="15123" width="2.33203125" style="140" customWidth="1"/>
    <col min="15124" max="15124" width="8.1640625" style="140" customWidth="1"/>
    <col min="15125" max="15125" width="2.33203125" style="140" customWidth="1"/>
    <col min="15126" max="15126" width="8.1640625" style="140" customWidth="1"/>
    <col min="15127" max="15127" width="2.33203125" style="140" customWidth="1"/>
    <col min="15128" max="15360" width="8.83203125" style="140" customWidth="1"/>
    <col min="15361" max="15361" width="18" style="140" customWidth="1"/>
    <col min="15362" max="15362" width="2.33203125" style="140" customWidth="1"/>
    <col min="15363" max="15363" width="8.1640625" style="140" customWidth="1"/>
    <col min="15364" max="15364" width="2.33203125" style="140" customWidth="1"/>
    <col min="15365" max="15365" width="8.1640625" style="140" customWidth="1"/>
    <col min="15366" max="15366" width="2.33203125" style="140" customWidth="1"/>
    <col min="15367" max="15367" width="8.1640625" style="140" customWidth="1"/>
    <col min="15368" max="15368" width="2.33203125" style="140" customWidth="1"/>
    <col min="15369" max="15369" width="8.1640625" style="140" customWidth="1"/>
    <col min="15370" max="15370" width="2.33203125" style="140" customWidth="1"/>
    <col min="15371" max="15371" width="8.1640625" style="140" customWidth="1"/>
    <col min="15372" max="15372" width="1.5" style="140" bestFit="1" customWidth="1"/>
    <col min="15373" max="15373" width="1.6640625" style="140" customWidth="1"/>
    <col min="15374" max="15374" width="8.1640625" style="140" customWidth="1"/>
    <col min="15375" max="15375" width="2.33203125" style="140" customWidth="1"/>
    <col min="15376" max="15376" width="8.1640625" style="140" customWidth="1"/>
    <col min="15377" max="15377" width="2.33203125" style="140" customWidth="1"/>
    <col min="15378" max="15378" width="8.1640625" style="140" customWidth="1"/>
    <col min="15379" max="15379" width="2.33203125" style="140" customWidth="1"/>
    <col min="15380" max="15380" width="8.1640625" style="140" customWidth="1"/>
    <col min="15381" max="15381" width="2.33203125" style="140" customWidth="1"/>
    <col min="15382" max="15382" width="8.1640625" style="140" customWidth="1"/>
    <col min="15383" max="15383" width="2.33203125" style="140" customWidth="1"/>
    <col min="15384" max="15616" width="8.83203125" style="140" customWidth="1"/>
    <col min="15617" max="15617" width="18" style="140" customWidth="1"/>
    <col min="15618" max="15618" width="2.33203125" style="140" customWidth="1"/>
    <col min="15619" max="15619" width="8.1640625" style="140" customWidth="1"/>
    <col min="15620" max="15620" width="2.33203125" style="140" customWidth="1"/>
    <col min="15621" max="15621" width="8.1640625" style="140" customWidth="1"/>
    <col min="15622" max="15622" width="2.33203125" style="140" customWidth="1"/>
    <col min="15623" max="15623" width="8.1640625" style="140" customWidth="1"/>
    <col min="15624" max="15624" width="2.33203125" style="140" customWidth="1"/>
    <col min="15625" max="15625" width="8.1640625" style="140" customWidth="1"/>
    <col min="15626" max="15626" width="2.33203125" style="140" customWidth="1"/>
    <col min="15627" max="15627" width="8.1640625" style="140" customWidth="1"/>
    <col min="15628" max="15628" width="1.5" style="140" bestFit="1" customWidth="1"/>
    <col min="15629" max="15629" width="1.6640625" style="140" customWidth="1"/>
    <col min="15630" max="15630" width="8.1640625" style="140" customWidth="1"/>
    <col min="15631" max="15631" width="2.33203125" style="140" customWidth="1"/>
    <col min="15632" max="15632" width="8.1640625" style="140" customWidth="1"/>
    <col min="15633" max="15633" width="2.33203125" style="140" customWidth="1"/>
    <col min="15634" max="15634" width="8.1640625" style="140" customWidth="1"/>
    <col min="15635" max="15635" width="2.33203125" style="140" customWidth="1"/>
    <col min="15636" max="15636" width="8.1640625" style="140" customWidth="1"/>
    <col min="15637" max="15637" width="2.33203125" style="140" customWidth="1"/>
    <col min="15638" max="15638" width="8.1640625" style="140" customWidth="1"/>
    <col min="15639" max="15639" width="2.33203125" style="140" customWidth="1"/>
    <col min="15640" max="15872" width="8.83203125" style="140" customWidth="1"/>
    <col min="15873" max="15873" width="18" style="140" customWidth="1"/>
    <col min="15874" max="15874" width="2.33203125" style="140" customWidth="1"/>
    <col min="15875" max="15875" width="8.1640625" style="140" customWidth="1"/>
    <col min="15876" max="15876" width="2.33203125" style="140" customWidth="1"/>
    <col min="15877" max="15877" width="8.1640625" style="140" customWidth="1"/>
    <col min="15878" max="15878" width="2.33203125" style="140" customWidth="1"/>
    <col min="15879" max="15879" width="8.1640625" style="140" customWidth="1"/>
    <col min="15880" max="15880" width="2.33203125" style="140" customWidth="1"/>
    <col min="15881" max="15881" width="8.1640625" style="140" customWidth="1"/>
    <col min="15882" max="15882" width="2.33203125" style="140" customWidth="1"/>
    <col min="15883" max="15883" width="8.1640625" style="140" customWidth="1"/>
    <col min="15884" max="15884" width="1.5" style="140" bestFit="1" customWidth="1"/>
    <col min="15885" max="15885" width="1.6640625" style="140" customWidth="1"/>
    <col min="15886" max="15886" width="8.1640625" style="140" customWidth="1"/>
    <col min="15887" max="15887" width="2.33203125" style="140" customWidth="1"/>
    <col min="15888" max="15888" width="8.1640625" style="140" customWidth="1"/>
    <col min="15889" max="15889" width="2.33203125" style="140" customWidth="1"/>
    <col min="15890" max="15890" width="8.1640625" style="140" customWidth="1"/>
    <col min="15891" max="15891" width="2.33203125" style="140" customWidth="1"/>
    <col min="15892" max="15892" width="8.1640625" style="140" customWidth="1"/>
    <col min="15893" max="15893" width="2.33203125" style="140" customWidth="1"/>
    <col min="15894" max="15894" width="8.1640625" style="140" customWidth="1"/>
    <col min="15895" max="15895" width="2.33203125" style="140" customWidth="1"/>
    <col min="15896" max="16128" width="8.83203125" style="140" customWidth="1"/>
    <col min="16129" max="16129" width="18" style="140" customWidth="1"/>
    <col min="16130" max="16130" width="2.33203125" style="140" customWidth="1"/>
    <col min="16131" max="16131" width="8.1640625" style="140" customWidth="1"/>
    <col min="16132" max="16132" width="2.33203125" style="140" customWidth="1"/>
    <col min="16133" max="16133" width="8.1640625" style="140" customWidth="1"/>
    <col min="16134" max="16134" width="2.33203125" style="140" customWidth="1"/>
    <col min="16135" max="16135" width="8.1640625" style="140" customWidth="1"/>
    <col min="16136" max="16136" width="2.33203125" style="140" customWidth="1"/>
    <col min="16137" max="16137" width="8.1640625" style="140" customWidth="1"/>
    <col min="16138" max="16138" width="2.33203125" style="140" customWidth="1"/>
    <col min="16139" max="16139" width="8.1640625" style="140" customWidth="1"/>
    <col min="16140" max="16140" width="1.5" style="140" bestFit="1" customWidth="1"/>
    <col min="16141" max="16141" width="1.6640625" style="140" customWidth="1"/>
    <col min="16142" max="16142" width="8.1640625" style="140" customWidth="1"/>
    <col min="16143" max="16143" width="2.33203125" style="140" customWidth="1"/>
    <col min="16144" max="16144" width="8.1640625" style="140" customWidth="1"/>
    <col min="16145" max="16145" width="2.33203125" style="140" customWidth="1"/>
    <col min="16146" max="16146" width="8.1640625" style="140" customWidth="1"/>
    <col min="16147" max="16147" width="2.33203125" style="140" customWidth="1"/>
    <col min="16148" max="16148" width="8.1640625" style="140" customWidth="1"/>
    <col min="16149" max="16149" width="2.33203125" style="140" customWidth="1"/>
    <col min="16150" max="16150" width="8.1640625" style="140" customWidth="1"/>
    <col min="16151" max="16151" width="2.33203125" style="140" customWidth="1"/>
    <col min="16152" max="16384" width="8.83203125" style="140" customWidth="1"/>
  </cols>
  <sheetData>
    <row r="1" spans="1:23" ht="11.25" customHeight="1">
      <c r="A1" s="362" t="s">
        <v>635</v>
      </c>
      <c r="B1" s="363"/>
      <c r="C1" s="363"/>
      <c r="D1" s="363"/>
      <c r="E1" s="363"/>
      <c r="F1" s="363"/>
      <c r="G1" s="363"/>
      <c r="H1" s="363"/>
      <c r="I1" s="363"/>
      <c r="J1" s="363"/>
      <c r="K1" s="363"/>
      <c r="L1" s="363"/>
      <c r="M1" s="363"/>
      <c r="N1" s="363"/>
      <c r="O1" s="363"/>
      <c r="P1" s="363"/>
      <c r="Q1" s="363"/>
      <c r="R1" s="363"/>
      <c r="S1" s="363"/>
      <c r="T1" s="363"/>
      <c r="U1" s="363"/>
      <c r="V1" s="363"/>
      <c r="W1" s="363"/>
    </row>
    <row r="2" spans="1:23" ht="11.25" customHeight="1">
      <c r="A2" s="362" t="s">
        <v>636</v>
      </c>
      <c r="B2" s="363"/>
      <c r="C2" s="363"/>
      <c r="D2" s="363"/>
      <c r="E2" s="363"/>
      <c r="F2" s="363"/>
      <c r="G2" s="363"/>
      <c r="H2" s="363"/>
      <c r="I2" s="363"/>
      <c r="J2" s="363"/>
      <c r="K2" s="363"/>
      <c r="L2" s="363"/>
      <c r="M2" s="363"/>
      <c r="N2" s="363"/>
      <c r="O2" s="363"/>
      <c r="P2" s="363"/>
      <c r="Q2" s="363"/>
      <c r="R2" s="363"/>
      <c r="S2" s="363"/>
      <c r="T2" s="363"/>
      <c r="U2" s="363"/>
      <c r="V2" s="363"/>
      <c r="W2" s="363"/>
    </row>
    <row r="3" spans="1:23" ht="11.25" customHeight="1">
      <c r="A3" s="362"/>
      <c r="B3" s="363"/>
      <c r="C3" s="363"/>
      <c r="D3" s="363"/>
      <c r="E3" s="363"/>
      <c r="F3" s="363"/>
      <c r="G3" s="363"/>
      <c r="H3" s="363"/>
      <c r="I3" s="363"/>
      <c r="J3" s="363"/>
      <c r="K3" s="363"/>
      <c r="L3" s="363"/>
      <c r="M3" s="363"/>
      <c r="N3" s="363"/>
      <c r="O3" s="363"/>
      <c r="P3" s="363"/>
      <c r="Q3" s="363"/>
      <c r="R3" s="363"/>
      <c r="S3" s="363"/>
      <c r="T3" s="363"/>
      <c r="U3" s="363"/>
      <c r="V3" s="363"/>
      <c r="W3" s="363"/>
    </row>
    <row r="4" spans="1:23" ht="11.25" customHeight="1">
      <c r="A4" s="362" t="s">
        <v>0</v>
      </c>
      <c r="B4" s="363"/>
      <c r="C4" s="363"/>
      <c r="D4" s="363"/>
      <c r="E4" s="363"/>
      <c r="F4" s="363"/>
      <c r="G4" s="363"/>
      <c r="H4" s="363"/>
      <c r="I4" s="363"/>
      <c r="J4" s="363"/>
      <c r="K4" s="363"/>
      <c r="L4" s="363"/>
      <c r="M4" s="363"/>
      <c r="N4" s="363"/>
      <c r="O4" s="363"/>
      <c r="P4" s="363"/>
      <c r="Q4" s="363"/>
      <c r="R4" s="363"/>
      <c r="S4" s="363"/>
      <c r="T4" s="363"/>
      <c r="U4" s="363"/>
      <c r="V4" s="363"/>
      <c r="W4" s="363"/>
    </row>
    <row r="5" spans="1:23" ht="11.25" customHeight="1">
      <c r="A5" s="362"/>
      <c r="B5" s="363"/>
      <c r="C5" s="363"/>
      <c r="D5" s="363"/>
      <c r="E5" s="363"/>
      <c r="F5" s="363"/>
      <c r="G5" s="363"/>
      <c r="H5" s="363"/>
      <c r="I5" s="363"/>
      <c r="J5" s="363"/>
      <c r="K5" s="363"/>
      <c r="L5" s="363"/>
      <c r="M5" s="363"/>
      <c r="N5" s="363"/>
      <c r="O5" s="363"/>
      <c r="P5" s="363"/>
      <c r="Q5" s="363"/>
      <c r="R5" s="363"/>
      <c r="S5" s="363"/>
      <c r="T5" s="363"/>
      <c r="U5" s="363"/>
      <c r="V5" s="363"/>
      <c r="W5" s="363"/>
    </row>
    <row r="6" spans="1:23" ht="11.25" customHeight="1">
      <c r="A6" s="321"/>
      <c r="B6" s="321"/>
      <c r="C6" s="364" t="s">
        <v>637</v>
      </c>
      <c r="D6" s="364"/>
      <c r="E6" s="364"/>
      <c r="F6" s="364"/>
      <c r="G6" s="364"/>
      <c r="H6" s="364"/>
      <c r="I6" s="364"/>
      <c r="J6" s="364"/>
      <c r="K6" s="364"/>
      <c r="L6" s="322"/>
      <c r="M6" s="321"/>
      <c r="N6" s="364" t="s">
        <v>638</v>
      </c>
      <c r="O6" s="364"/>
      <c r="P6" s="364"/>
      <c r="Q6" s="364"/>
      <c r="R6" s="364"/>
      <c r="S6" s="364"/>
      <c r="T6" s="364"/>
      <c r="U6" s="364"/>
      <c r="V6" s="364"/>
      <c r="W6" s="364"/>
    </row>
    <row r="7" spans="1:23" ht="11.25" customHeight="1">
      <c r="A7" s="323" t="s">
        <v>1</v>
      </c>
      <c r="B7" s="324"/>
      <c r="C7" s="325" t="s">
        <v>2</v>
      </c>
      <c r="D7" s="326"/>
      <c r="E7" s="325" t="s">
        <v>3</v>
      </c>
      <c r="F7" s="327"/>
      <c r="G7" s="325" t="s">
        <v>4</v>
      </c>
      <c r="H7" s="327"/>
      <c r="I7" s="328" t="s">
        <v>5</v>
      </c>
      <c r="J7" s="327"/>
      <c r="K7" s="325" t="s">
        <v>6</v>
      </c>
      <c r="L7" s="327"/>
      <c r="M7" s="329"/>
      <c r="N7" s="325" t="s">
        <v>2</v>
      </c>
      <c r="O7" s="327"/>
      <c r="P7" s="325" t="s">
        <v>3</v>
      </c>
      <c r="Q7" s="327"/>
      <c r="R7" s="325" t="s">
        <v>4</v>
      </c>
      <c r="S7" s="327"/>
      <c r="T7" s="328" t="s">
        <v>5</v>
      </c>
      <c r="U7" s="327"/>
      <c r="V7" s="325" t="s">
        <v>6</v>
      </c>
      <c r="W7" s="327"/>
    </row>
    <row r="8" spans="1:23" ht="11.25" customHeight="1">
      <c r="A8" s="330" t="s">
        <v>7</v>
      </c>
      <c r="B8" s="331"/>
      <c r="C8" s="332">
        <v>1783</v>
      </c>
      <c r="D8" s="333"/>
      <c r="E8" s="332">
        <v>1336</v>
      </c>
      <c r="F8" s="334"/>
      <c r="G8" s="332">
        <v>1645</v>
      </c>
      <c r="H8" s="334"/>
      <c r="I8" s="332">
        <v>1732</v>
      </c>
      <c r="J8" s="333" t="s">
        <v>8</v>
      </c>
      <c r="K8" s="332">
        <v>2100</v>
      </c>
      <c r="L8" s="334"/>
      <c r="M8" s="335"/>
      <c r="N8" s="332">
        <v>900</v>
      </c>
      <c r="O8" s="334"/>
      <c r="P8" s="332">
        <v>680</v>
      </c>
      <c r="Q8" s="334"/>
      <c r="R8" s="332">
        <v>830</v>
      </c>
      <c r="S8" s="334" t="s">
        <v>9</v>
      </c>
      <c r="T8" s="332">
        <v>790</v>
      </c>
      <c r="U8" s="334"/>
      <c r="V8" s="332">
        <v>1060</v>
      </c>
      <c r="W8" s="334"/>
    </row>
    <row r="9" spans="1:23" ht="11.25" customHeight="1">
      <c r="A9" s="330" t="s">
        <v>10</v>
      </c>
      <c r="B9" s="331"/>
      <c r="C9" s="332">
        <v>155731</v>
      </c>
      <c r="D9" s="333"/>
      <c r="E9" s="332">
        <v>154268</v>
      </c>
      <c r="F9" s="334"/>
      <c r="G9" s="332">
        <v>167935</v>
      </c>
      <c r="H9" s="334"/>
      <c r="I9" s="332">
        <v>181553</v>
      </c>
      <c r="J9" s="333"/>
      <c r="K9" s="332">
        <v>182704</v>
      </c>
      <c r="L9" s="333">
        <v>5</v>
      </c>
      <c r="M9" s="335"/>
      <c r="N9" s="332">
        <v>99418.888000000006</v>
      </c>
      <c r="O9" s="334"/>
      <c r="P9" s="332">
        <v>95223</v>
      </c>
      <c r="Q9" s="334"/>
      <c r="R9" s="332">
        <v>104226</v>
      </c>
      <c r="S9" s="334"/>
      <c r="T9" s="332">
        <v>112592</v>
      </c>
      <c r="U9" s="334"/>
      <c r="V9" s="332">
        <v>113548</v>
      </c>
      <c r="W9" s="336">
        <v>5</v>
      </c>
    </row>
    <row r="10" spans="1:23" ht="11.25" customHeight="1">
      <c r="A10" s="330" t="s">
        <v>11</v>
      </c>
      <c r="B10" s="331"/>
      <c r="C10" s="332">
        <v>1797</v>
      </c>
      <c r="D10" s="333"/>
      <c r="E10" s="332">
        <v>1752</v>
      </c>
      <c r="F10" s="334"/>
      <c r="G10" s="332">
        <v>1800</v>
      </c>
      <c r="H10" s="333" t="s">
        <v>9</v>
      </c>
      <c r="I10" s="332">
        <v>1800</v>
      </c>
      <c r="J10" s="333" t="s">
        <v>9</v>
      </c>
      <c r="K10" s="332">
        <v>1900</v>
      </c>
      <c r="L10" s="333"/>
      <c r="M10" s="335"/>
      <c r="N10" s="332">
        <v>500</v>
      </c>
      <c r="O10" s="334"/>
      <c r="P10" s="332">
        <v>500</v>
      </c>
      <c r="Q10" s="334"/>
      <c r="R10" s="332">
        <v>500</v>
      </c>
      <c r="S10" s="333" t="s">
        <v>9</v>
      </c>
      <c r="T10" s="332">
        <v>575</v>
      </c>
      <c r="U10" s="333" t="s">
        <v>9</v>
      </c>
      <c r="V10" s="332">
        <v>575</v>
      </c>
      <c r="W10" s="333"/>
    </row>
    <row r="11" spans="1:23" ht="11.25" customHeight="1">
      <c r="A11" s="330" t="s">
        <v>639</v>
      </c>
      <c r="B11" s="331"/>
      <c r="C11" s="332">
        <v>6.6</v>
      </c>
      <c r="D11" s="333"/>
      <c r="E11" s="332" t="s">
        <v>12</v>
      </c>
      <c r="F11" s="334"/>
      <c r="G11" s="332" t="s">
        <v>13</v>
      </c>
      <c r="H11" s="333"/>
      <c r="I11" s="332" t="s">
        <v>13</v>
      </c>
      <c r="J11" s="333"/>
      <c r="K11" s="332" t="s">
        <v>13</v>
      </c>
      <c r="L11" s="333"/>
      <c r="M11" s="335"/>
      <c r="N11" s="332">
        <v>3.63</v>
      </c>
      <c r="O11" s="334"/>
      <c r="P11" s="332" t="s">
        <v>12</v>
      </c>
      <c r="Q11" s="334"/>
      <c r="R11" s="332" t="s">
        <v>13</v>
      </c>
      <c r="S11" s="333"/>
      <c r="T11" s="332" t="s">
        <v>13</v>
      </c>
      <c r="U11" s="333"/>
      <c r="V11" s="332" t="s">
        <v>13</v>
      </c>
      <c r="W11" s="333"/>
    </row>
    <row r="12" spans="1:23" ht="11.25" customHeight="1">
      <c r="A12" s="330" t="s">
        <v>14</v>
      </c>
      <c r="B12" s="331"/>
      <c r="C12" s="332">
        <v>150</v>
      </c>
      <c r="D12" s="333"/>
      <c r="E12" s="332">
        <v>150</v>
      </c>
      <c r="F12" s="334"/>
      <c r="G12" s="332">
        <v>150</v>
      </c>
      <c r="H12" s="333"/>
      <c r="I12" s="332">
        <v>150</v>
      </c>
      <c r="J12" s="333"/>
      <c r="K12" s="332">
        <v>150</v>
      </c>
      <c r="L12" s="333"/>
      <c r="M12" s="335"/>
      <c r="N12" s="332">
        <v>50</v>
      </c>
      <c r="O12" s="334"/>
      <c r="P12" s="332">
        <v>50</v>
      </c>
      <c r="Q12" s="334"/>
      <c r="R12" s="332">
        <v>50</v>
      </c>
      <c r="S12" s="333"/>
      <c r="T12" s="332">
        <v>50</v>
      </c>
      <c r="U12" s="333"/>
      <c r="V12" s="332">
        <v>50</v>
      </c>
      <c r="W12" s="333"/>
    </row>
    <row r="13" spans="1:23" ht="11.25" customHeight="1">
      <c r="A13" s="330" t="s">
        <v>15</v>
      </c>
      <c r="B13" s="331"/>
      <c r="C13" s="332">
        <v>197500</v>
      </c>
      <c r="D13" s="333"/>
      <c r="E13" s="332">
        <v>194000</v>
      </c>
      <c r="F13" s="334"/>
      <c r="G13" s="332">
        <v>210000</v>
      </c>
      <c r="H13" s="333"/>
      <c r="I13" s="332">
        <v>210000</v>
      </c>
      <c r="J13" s="333"/>
      <c r="K13" s="332">
        <v>210000</v>
      </c>
      <c r="L13" s="333"/>
      <c r="M13" s="335"/>
      <c r="N13" s="332">
        <v>124210</v>
      </c>
      <c r="O13" s="334"/>
      <c r="P13" s="332">
        <v>124000</v>
      </c>
      <c r="Q13" s="334"/>
      <c r="R13" s="332">
        <v>125000</v>
      </c>
      <c r="S13" s="333" t="s">
        <v>9</v>
      </c>
      <c r="T13" s="332">
        <v>125000</v>
      </c>
      <c r="U13" s="333" t="s">
        <v>9</v>
      </c>
      <c r="V13" s="332">
        <v>125000</v>
      </c>
      <c r="W13" s="333"/>
    </row>
    <row r="14" spans="1:23" ht="11.25" customHeight="1">
      <c r="A14" s="330" t="s">
        <v>16</v>
      </c>
      <c r="B14" s="331"/>
      <c r="C14" s="332">
        <v>895</v>
      </c>
      <c r="D14" s="333" t="s">
        <v>8</v>
      </c>
      <c r="E14" s="332">
        <v>699</v>
      </c>
      <c r="F14" s="333" t="s">
        <v>8</v>
      </c>
      <c r="G14" s="332">
        <v>559</v>
      </c>
      <c r="H14" s="333" t="s">
        <v>8</v>
      </c>
      <c r="I14" s="332">
        <v>325</v>
      </c>
      <c r="J14" s="333" t="s">
        <v>8</v>
      </c>
      <c r="K14" s="332">
        <v>300</v>
      </c>
      <c r="L14" s="333"/>
      <c r="M14" s="335"/>
      <c r="N14" s="332">
        <v>250</v>
      </c>
      <c r="O14" s="333" t="s">
        <v>8</v>
      </c>
      <c r="P14" s="332">
        <v>223</v>
      </c>
      <c r="Q14" s="333" t="s">
        <v>8</v>
      </c>
      <c r="R14" s="332">
        <v>178</v>
      </c>
      <c r="S14" s="333" t="s">
        <v>8</v>
      </c>
      <c r="T14" s="332">
        <v>92</v>
      </c>
      <c r="U14" s="333" t="s">
        <v>8</v>
      </c>
      <c r="V14" s="332">
        <v>90</v>
      </c>
      <c r="W14" s="333"/>
    </row>
    <row r="15" spans="1:23" ht="11.25" customHeight="1">
      <c r="A15" s="330" t="s">
        <v>640</v>
      </c>
      <c r="B15" s="331"/>
      <c r="C15" s="332">
        <v>37808</v>
      </c>
      <c r="D15" s="333"/>
      <c r="E15" s="332">
        <v>33900</v>
      </c>
      <c r="F15" s="333"/>
      <c r="G15" s="332">
        <v>33740</v>
      </c>
      <c r="H15" s="333"/>
      <c r="I15" s="332">
        <v>27119</v>
      </c>
      <c r="J15" s="333" t="s">
        <v>8</v>
      </c>
      <c r="K15" s="332">
        <v>30969</v>
      </c>
      <c r="L15" s="333" t="s">
        <v>17</v>
      </c>
      <c r="M15" s="335"/>
      <c r="N15" s="332">
        <v>24082</v>
      </c>
      <c r="O15" s="333"/>
      <c r="P15" s="332">
        <v>21650</v>
      </c>
      <c r="Q15" s="333"/>
      <c r="R15" s="332">
        <v>22744</v>
      </c>
      <c r="S15" s="333"/>
      <c r="T15" s="332">
        <v>18186</v>
      </c>
      <c r="U15" s="333" t="s">
        <v>8</v>
      </c>
      <c r="V15" s="332">
        <v>20750</v>
      </c>
      <c r="W15" s="333" t="s">
        <v>17</v>
      </c>
    </row>
    <row r="16" spans="1:23" ht="11.25" customHeight="1">
      <c r="A16" s="330" t="s">
        <v>18</v>
      </c>
      <c r="B16" s="331"/>
      <c r="C16" s="332">
        <v>9112</v>
      </c>
      <c r="D16" s="333"/>
      <c r="E16" s="332">
        <v>8345</v>
      </c>
      <c r="F16" s="333"/>
      <c r="G16" s="332">
        <v>8729</v>
      </c>
      <c r="H16" s="333"/>
      <c r="I16" s="332">
        <v>8834</v>
      </c>
      <c r="J16" s="333" t="s">
        <v>19</v>
      </c>
      <c r="K16" s="332">
        <v>8850</v>
      </c>
      <c r="L16" s="333"/>
      <c r="M16" s="335"/>
      <c r="N16" s="332">
        <v>5694</v>
      </c>
      <c r="O16" s="333"/>
      <c r="P16" s="332">
        <v>5215</v>
      </c>
      <c r="Q16" s="333"/>
      <c r="R16" s="332">
        <v>5455</v>
      </c>
      <c r="S16" s="333"/>
      <c r="T16" s="332">
        <v>5520</v>
      </c>
      <c r="U16" s="333" t="s">
        <v>8</v>
      </c>
      <c r="V16" s="332">
        <v>5515</v>
      </c>
      <c r="W16" s="333"/>
    </row>
    <row r="17" spans="1:23" ht="11.25" customHeight="1">
      <c r="A17" s="330" t="s">
        <v>641</v>
      </c>
      <c r="B17" s="331"/>
      <c r="C17" s="332">
        <v>247000</v>
      </c>
      <c r="D17" s="333"/>
      <c r="E17" s="332">
        <v>237000</v>
      </c>
      <c r="F17" s="333"/>
      <c r="G17" s="332">
        <v>223000</v>
      </c>
      <c r="H17" s="333"/>
      <c r="I17" s="332">
        <v>220000</v>
      </c>
      <c r="J17" s="333"/>
      <c r="K17" s="332">
        <v>231000</v>
      </c>
      <c r="L17" s="333"/>
      <c r="M17" s="335"/>
      <c r="N17" s="332">
        <v>81200</v>
      </c>
      <c r="O17" s="333"/>
      <c r="P17" s="332">
        <v>78200</v>
      </c>
      <c r="Q17" s="333"/>
      <c r="R17" s="332">
        <v>73500</v>
      </c>
      <c r="S17" s="333"/>
      <c r="T17" s="332">
        <v>72600</v>
      </c>
      <c r="U17" s="333"/>
      <c r="V17" s="332">
        <v>76200</v>
      </c>
      <c r="W17" s="333"/>
    </row>
    <row r="18" spans="1:23" ht="11.25" customHeight="1">
      <c r="A18" s="330" t="s">
        <v>20</v>
      </c>
      <c r="B18" s="331"/>
      <c r="C18" s="332">
        <v>525.82500000000005</v>
      </c>
      <c r="D18" s="333" t="s">
        <v>8</v>
      </c>
      <c r="E18" s="332">
        <v>576.41399999999999</v>
      </c>
      <c r="F18" s="333"/>
      <c r="G18" s="332">
        <v>660.10900000000004</v>
      </c>
      <c r="H18" s="333"/>
      <c r="I18" s="332">
        <v>636.83699999999999</v>
      </c>
      <c r="J18" s="333" t="s">
        <v>8</v>
      </c>
      <c r="K18" s="332">
        <v>650</v>
      </c>
      <c r="L18" s="333"/>
      <c r="M18" s="335"/>
      <c r="N18" s="332">
        <v>282.2</v>
      </c>
      <c r="O18" s="333" t="s">
        <v>8</v>
      </c>
      <c r="P18" s="332">
        <v>317</v>
      </c>
      <c r="Q18" s="333"/>
      <c r="R18" s="332">
        <v>363</v>
      </c>
      <c r="S18" s="333"/>
      <c r="T18" s="332">
        <v>350</v>
      </c>
      <c r="U18" s="333" t="s">
        <v>8</v>
      </c>
      <c r="V18" s="332">
        <v>358</v>
      </c>
      <c r="W18" s="333"/>
    </row>
    <row r="19" spans="1:23" ht="11.25" customHeight="1">
      <c r="A19" s="330" t="s">
        <v>21</v>
      </c>
      <c r="B19" s="331"/>
      <c r="C19" s="332">
        <v>3001</v>
      </c>
      <c r="D19" s="333"/>
      <c r="E19" s="332">
        <v>2700</v>
      </c>
      <c r="F19" s="333" t="s">
        <v>9</v>
      </c>
      <c r="G19" s="332">
        <v>1900</v>
      </c>
      <c r="H19" s="333" t="s">
        <v>8</v>
      </c>
      <c r="I19" s="332">
        <v>2600</v>
      </c>
      <c r="J19" s="333" t="s">
        <v>8</v>
      </c>
      <c r="K19" s="332">
        <v>2300</v>
      </c>
      <c r="L19" s="333"/>
      <c r="M19" s="335"/>
      <c r="N19" s="332">
        <v>1500</v>
      </c>
      <c r="O19" s="333"/>
      <c r="P19" s="332">
        <v>1350</v>
      </c>
      <c r="Q19" s="333"/>
      <c r="R19" s="332">
        <v>950</v>
      </c>
      <c r="S19" s="333" t="s">
        <v>8</v>
      </c>
      <c r="T19" s="332">
        <v>1300</v>
      </c>
      <c r="U19" s="333" t="s">
        <v>8</v>
      </c>
      <c r="V19" s="332">
        <v>1150</v>
      </c>
      <c r="W19" s="333"/>
    </row>
    <row r="20" spans="1:23" ht="11.25" customHeight="1">
      <c r="A20" s="330" t="s">
        <v>642</v>
      </c>
      <c r="B20" s="331"/>
      <c r="C20" s="332">
        <v>250</v>
      </c>
      <c r="D20" s="333"/>
      <c r="E20" s="332">
        <v>250</v>
      </c>
      <c r="F20" s="333"/>
      <c r="G20" s="332" t="s">
        <v>12</v>
      </c>
      <c r="H20" s="333"/>
      <c r="I20" s="332" t="s">
        <v>12</v>
      </c>
      <c r="J20" s="333"/>
      <c r="K20" s="332" t="s">
        <v>12</v>
      </c>
      <c r="L20" s="333"/>
      <c r="M20" s="335"/>
      <c r="N20" s="332">
        <v>75</v>
      </c>
      <c r="O20" s="333"/>
      <c r="P20" s="332">
        <v>35</v>
      </c>
      <c r="Q20" s="333"/>
      <c r="R20" s="332" t="s">
        <v>12</v>
      </c>
      <c r="S20" s="333"/>
      <c r="T20" s="332" t="s">
        <v>12</v>
      </c>
      <c r="U20" s="333"/>
      <c r="V20" s="332" t="s">
        <v>12</v>
      </c>
      <c r="W20" s="333"/>
    </row>
    <row r="21" spans="1:23" ht="11.25" customHeight="1">
      <c r="A21" s="330" t="s">
        <v>22</v>
      </c>
      <c r="B21" s="331"/>
      <c r="C21" s="332">
        <v>200</v>
      </c>
      <c r="D21" s="333"/>
      <c r="E21" s="332">
        <v>100</v>
      </c>
      <c r="F21" s="333"/>
      <c r="G21" s="332" t="s">
        <v>12</v>
      </c>
      <c r="H21" s="333"/>
      <c r="I21" s="332" t="s">
        <v>12</v>
      </c>
      <c r="J21" s="333"/>
      <c r="K21" s="332" t="s">
        <v>12</v>
      </c>
      <c r="L21" s="333"/>
      <c r="M21" s="335"/>
      <c r="N21" s="332">
        <v>28</v>
      </c>
      <c r="O21" s="333"/>
      <c r="P21" s="332">
        <v>14</v>
      </c>
      <c r="Q21" s="333"/>
      <c r="R21" s="332" t="s">
        <v>12</v>
      </c>
      <c r="S21" s="333"/>
      <c r="T21" s="332" t="s">
        <v>12</v>
      </c>
      <c r="U21" s="333"/>
      <c r="V21" s="332" t="s">
        <v>12</v>
      </c>
      <c r="W21" s="333"/>
    </row>
    <row r="22" spans="1:23" ht="11.25" customHeight="1">
      <c r="A22" s="330" t="s">
        <v>643</v>
      </c>
      <c r="B22" s="331"/>
      <c r="C22" s="332" t="s">
        <v>13</v>
      </c>
      <c r="D22" s="333"/>
      <c r="E22" s="332">
        <v>1600</v>
      </c>
      <c r="F22" s="333"/>
      <c r="G22" s="332">
        <v>1500</v>
      </c>
      <c r="H22" s="333"/>
      <c r="I22" s="332">
        <v>1500</v>
      </c>
      <c r="J22" s="333"/>
      <c r="K22" s="332">
        <v>1500</v>
      </c>
      <c r="L22" s="333"/>
      <c r="M22" s="335"/>
      <c r="N22" s="332" t="s">
        <v>13</v>
      </c>
      <c r="O22" s="333"/>
      <c r="P22" s="332">
        <v>600</v>
      </c>
      <c r="Q22" s="333"/>
      <c r="R22" s="332">
        <v>575</v>
      </c>
      <c r="S22" s="333"/>
      <c r="T22" s="332">
        <v>575</v>
      </c>
      <c r="U22" s="333"/>
      <c r="V22" s="332">
        <v>575</v>
      </c>
      <c r="W22" s="333"/>
    </row>
    <row r="23" spans="1:23" ht="11.25" customHeight="1">
      <c r="A23" s="330" t="s">
        <v>23</v>
      </c>
      <c r="B23" s="331"/>
      <c r="C23" s="332">
        <v>5.1020000000000003</v>
      </c>
      <c r="D23" s="333"/>
      <c r="E23" s="332">
        <v>10.536</v>
      </c>
      <c r="F23" s="333"/>
      <c r="G23" s="332">
        <v>16.254000000000001</v>
      </c>
      <c r="H23" s="333"/>
      <c r="I23" s="332">
        <v>15</v>
      </c>
      <c r="J23" s="333"/>
      <c r="K23" s="332">
        <v>15</v>
      </c>
      <c r="L23" s="333"/>
      <c r="M23" s="335"/>
      <c r="N23" s="332">
        <v>3.3</v>
      </c>
      <c r="O23" s="333"/>
      <c r="P23" s="332">
        <v>6.8</v>
      </c>
      <c r="Q23" s="333"/>
      <c r="R23" s="332">
        <v>10.5</v>
      </c>
      <c r="S23" s="333"/>
      <c r="T23" s="332">
        <v>9.6999999999999993</v>
      </c>
      <c r="U23" s="333"/>
      <c r="V23" s="332">
        <v>9.6999999999999993</v>
      </c>
      <c r="W23" s="333"/>
    </row>
    <row r="24" spans="1:23" ht="11.25" customHeight="1">
      <c r="A24" s="330" t="s">
        <v>24</v>
      </c>
      <c r="B24" s="331"/>
      <c r="C24" s="332">
        <v>72532</v>
      </c>
      <c r="D24" s="333"/>
      <c r="E24" s="332">
        <v>70220</v>
      </c>
      <c r="F24" s="333"/>
      <c r="G24" s="332">
        <v>75950</v>
      </c>
      <c r="H24" s="333"/>
      <c r="I24" s="332">
        <v>79200</v>
      </c>
      <c r="J24" s="333"/>
      <c r="K24" s="332">
        <v>80000</v>
      </c>
      <c r="L24" s="333"/>
      <c r="M24" s="335"/>
      <c r="N24" s="332">
        <v>48000</v>
      </c>
      <c r="O24" s="333"/>
      <c r="P24" s="332">
        <v>44940</v>
      </c>
      <c r="Q24" s="333"/>
      <c r="R24" s="332">
        <v>48600</v>
      </c>
      <c r="S24" s="333"/>
      <c r="T24" s="332">
        <v>50700</v>
      </c>
      <c r="U24" s="336"/>
      <c r="V24" s="332">
        <v>51200</v>
      </c>
      <c r="W24" s="333"/>
    </row>
    <row r="25" spans="1:23" ht="11.25" customHeight="1">
      <c r="A25" s="330" t="s">
        <v>25</v>
      </c>
      <c r="B25" s="331"/>
      <c r="C25" s="332">
        <v>560.42399999999998</v>
      </c>
      <c r="D25" s="333"/>
      <c r="E25" s="332">
        <v>584.428</v>
      </c>
      <c r="F25" s="333"/>
      <c r="G25" s="332">
        <v>489.12599999999998</v>
      </c>
      <c r="H25" s="333"/>
      <c r="I25" s="332">
        <v>469.12599999999998</v>
      </c>
      <c r="J25" s="336" t="s">
        <v>8</v>
      </c>
      <c r="K25" s="332">
        <v>474.702</v>
      </c>
      <c r="L25" s="336">
        <v>5</v>
      </c>
      <c r="M25" s="335"/>
      <c r="N25" s="332">
        <v>310</v>
      </c>
      <c r="O25" s="333" t="s">
        <v>9</v>
      </c>
      <c r="P25" s="332">
        <v>320</v>
      </c>
      <c r="Q25" s="333" t="s">
        <v>9</v>
      </c>
      <c r="R25" s="332">
        <v>269</v>
      </c>
      <c r="S25" s="333" t="s">
        <v>9</v>
      </c>
      <c r="T25" s="332">
        <v>258</v>
      </c>
      <c r="U25" s="333" t="s">
        <v>9</v>
      </c>
      <c r="V25" s="332">
        <v>261</v>
      </c>
      <c r="W25" s="333"/>
    </row>
    <row r="26" spans="1:23" ht="11.25" customHeight="1">
      <c r="A26" s="330" t="s">
        <v>644</v>
      </c>
      <c r="B26" s="331"/>
      <c r="C26" s="332">
        <v>10536</v>
      </c>
      <c r="D26" s="333"/>
      <c r="E26" s="332">
        <v>10776</v>
      </c>
      <c r="F26" s="333"/>
      <c r="G26" s="332">
        <v>12370</v>
      </c>
      <c r="H26" s="333" t="s">
        <v>8</v>
      </c>
      <c r="I26" s="332">
        <v>10300</v>
      </c>
      <c r="J26" s="333" t="s">
        <v>8</v>
      </c>
      <c r="K26" s="332">
        <v>11300</v>
      </c>
      <c r="L26" s="333"/>
      <c r="M26" s="335"/>
      <c r="N26" s="332">
        <v>5200</v>
      </c>
      <c r="O26" s="333"/>
      <c r="P26" s="332">
        <v>5300</v>
      </c>
      <c r="Q26" s="333"/>
      <c r="R26" s="332">
        <v>6100</v>
      </c>
      <c r="S26" s="333" t="s">
        <v>8</v>
      </c>
      <c r="T26" s="332">
        <v>5100</v>
      </c>
      <c r="U26" s="333" t="s">
        <v>8</v>
      </c>
      <c r="V26" s="332">
        <v>5600</v>
      </c>
      <c r="W26" s="333"/>
    </row>
    <row r="27" spans="1:23" ht="11.25" customHeight="1">
      <c r="A27" s="330" t="s">
        <v>26</v>
      </c>
      <c r="B27" s="331"/>
      <c r="C27" s="332">
        <v>1.72</v>
      </c>
      <c r="D27" s="333"/>
      <c r="E27" s="332">
        <v>1.45</v>
      </c>
      <c r="F27" s="333"/>
      <c r="G27" s="332">
        <v>1.454</v>
      </c>
      <c r="H27" s="333"/>
      <c r="I27" s="332">
        <v>0.75</v>
      </c>
      <c r="J27" s="333"/>
      <c r="K27" s="332">
        <v>0.75</v>
      </c>
      <c r="L27" s="333"/>
      <c r="M27" s="335"/>
      <c r="N27" s="332">
        <v>0.69899999999999995</v>
      </c>
      <c r="O27" s="333"/>
      <c r="P27" s="332">
        <v>0.58899999999999997</v>
      </c>
      <c r="Q27" s="333"/>
      <c r="R27" s="332">
        <v>0.52300000000000002</v>
      </c>
      <c r="S27" s="333"/>
      <c r="T27" s="337" t="s">
        <v>27</v>
      </c>
      <c r="U27" s="333"/>
      <c r="V27" s="337" t="s">
        <v>27</v>
      </c>
      <c r="W27" s="333"/>
    </row>
    <row r="28" spans="1:23" ht="11.25" customHeight="1">
      <c r="A28" s="330" t="s">
        <v>28</v>
      </c>
      <c r="B28" s="331"/>
      <c r="C28" s="332">
        <v>8692.9</v>
      </c>
      <c r="D28" s="333"/>
      <c r="E28" s="332">
        <v>9091.2000000000007</v>
      </c>
      <c r="F28" s="333"/>
      <c r="G28" s="332">
        <v>16160</v>
      </c>
      <c r="H28" s="333"/>
      <c r="I28" s="332">
        <v>14140</v>
      </c>
      <c r="J28" s="333"/>
      <c r="K28" s="332">
        <v>15423.1</v>
      </c>
      <c r="L28" s="333"/>
      <c r="M28" s="335"/>
      <c r="N28" s="332">
        <v>4900</v>
      </c>
      <c r="O28" s="333"/>
      <c r="P28" s="332">
        <v>5200</v>
      </c>
      <c r="Q28" s="333"/>
      <c r="R28" s="332">
        <v>9200</v>
      </c>
      <c r="S28" s="333" t="s">
        <v>9</v>
      </c>
      <c r="T28" s="332">
        <v>8000</v>
      </c>
      <c r="U28" s="333"/>
      <c r="V28" s="332">
        <v>8700</v>
      </c>
      <c r="W28" s="333"/>
    </row>
    <row r="29" spans="1:23" ht="11.25" customHeight="1">
      <c r="A29" s="330" t="s">
        <v>29</v>
      </c>
      <c r="B29" s="331"/>
      <c r="C29" s="332" t="s">
        <v>13</v>
      </c>
      <c r="D29" s="333"/>
      <c r="E29" s="332" t="s">
        <v>13</v>
      </c>
      <c r="F29" s="333"/>
      <c r="G29" s="332">
        <v>0.79</v>
      </c>
      <c r="H29" s="333"/>
      <c r="I29" s="332">
        <v>0.92</v>
      </c>
      <c r="J29" s="333" t="s">
        <v>9</v>
      </c>
      <c r="K29" s="332">
        <v>1</v>
      </c>
      <c r="L29" s="333"/>
      <c r="M29" s="335"/>
      <c r="N29" s="332" t="s">
        <v>13</v>
      </c>
      <c r="O29" s="333"/>
      <c r="P29" s="332" t="s">
        <v>13</v>
      </c>
      <c r="Q29" s="333"/>
      <c r="R29" s="337" t="s">
        <v>27</v>
      </c>
      <c r="S29" s="333" t="s">
        <v>9</v>
      </c>
      <c r="T29" s="337" t="s">
        <v>27</v>
      </c>
      <c r="U29" s="333" t="s">
        <v>8</v>
      </c>
      <c r="V29" s="337" t="s">
        <v>27</v>
      </c>
      <c r="W29" s="333"/>
    </row>
    <row r="30" spans="1:23" ht="11.25" customHeight="1">
      <c r="A30" s="330" t="s">
        <v>30</v>
      </c>
      <c r="B30" s="331"/>
      <c r="C30" s="332">
        <v>2900</v>
      </c>
      <c r="D30" s="333" t="s">
        <v>8</v>
      </c>
      <c r="E30" s="332">
        <v>3800</v>
      </c>
      <c r="F30" s="333" t="s">
        <v>8</v>
      </c>
      <c r="G30" s="332">
        <v>3800</v>
      </c>
      <c r="H30" s="333" t="s">
        <v>8</v>
      </c>
      <c r="I30" s="332">
        <v>4200</v>
      </c>
      <c r="J30" s="333" t="s">
        <v>8</v>
      </c>
      <c r="K30" s="332">
        <v>4300</v>
      </c>
      <c r="L30" s="333"/>
      <c r="M30" s="335"/>
      <c r="N30" s="332">
        <v>850</v>
      </c>
      <c r="O30" s="333" t="s">
        <v>8</v>
      </c>
      <c r="P30" s="332">
        <v>1100</v>
      </c>
      <c r="Q30" s="333" t="s">
        <v>8</v>
      </c>
      <c r="R30" s="332">
        <v>1200</v>
      </c>
      <c r="S30" s="333" t="s">
        <v>8</v>
      </c>
      <c r="T30" s="332">
        <v>1200</v>
      </c>
      <c r="U30" s="333" t="s">
        <v>8</v>
      </c>
      <c r="V30" s="332">
        <v>1300</v>
      </c>
      <c r="W30" s="333"/>
    </row>
    <row r="31" spans="1:23" ht="11.25" customHeight="1">
      <c r="A31" s="330" t="s">
        <v>31</v>
      </c>
      <c r="B31" s="331"/>
      <c r="C31" s="332">
        <v>486.18299999999999</v>
      </c>
      <c r="D31" s="334"/>
      <c r="E31" s="332">
        <v>410.06599999999997</v>
      </c>
      <c r="F31" s="334"/>
      <c r="G31" s="332">
        <v>336.17500000000001</v>
      </c>
      <c r="H31" s="333"/>
      <c r="I31" s="332">
        <v>195</v>
      </c>
      <c r="J31" s="333"/>
      <c r="K31" s="332">
        <v>200</v>
      </c>
      <c r="L31" s="333"/>
      <c r="M31" s="335"/>
      <c r="N31" s="332">
        <v>272.3</v>
      </c>
      <c r="O31" s="333"/>
      <c r="P31" s="332">
        <v>229</v>
      </c>
      <c r="Q31" s="333"/>
      <c r="R31" s="332">
        <v>188.3</v>
      </c>
      <c r="S31" s="333"/>
      <c r="T31" s="332">
        <v>109</v>
      </c>
      <c r="U31" s="333"/>
      <c r="V31" s="332">
        <v>110</v>
      </c>
      <c r="W31" s="333"/>
    </row>
    <row r="32" spans="1:23" ht="11.25" customHeight="1">
      <c r="A32" s="330" t="s">
        <v>645</v>
      </c>
      <c r="B32" s="331"/>
      <c r="C32" s="332">
        <v>15</v>
      </c>
      <c r="D32" s="334"/>
      <c r="E32" s="332">
        <v>15</v>
      </c>
      <c r="F32" s="334"/>
      <c r="G32" s="332">
        <v>15</v>
      </c>
      <c r="H32" s="333"/>
      <c r="I32" s="332">
        <v>15</v>
      </c>
      <c r="J32" s="333"/>
      <c r="K32" s="332">
        <v>15</v>
      </c>
      <c r="L32" s="333"/>
      <c r="M32" s="335"/>
      <c r="N32" s="332">
        <v>9</v>
      </c>
      <c r="O32" s="333"/>
      <c r="P32" s="332">
        <v>9</v>
      </c>
      <c r="Q32" s="333"/>
      <c r="R32" s="332">
        <v>9</v>
      </c>
      <c r="S32" s="333"/>
      <c r="T32" s="332">
        <v>9</v>
      </c>
      <c r="U32" s="333"/>
      <c r="V32" s="332">
        <v>9</v>
      </c>
      <c r="W32" s="333"/>
    </row>
    <row r="33" spans="1:23" ht="11.25" customHeight="1">
      <c r="A33" s="330" t="s">
        <v>32</v>
      </c>
      <c r="B33" s="331"/>
      <c r="C33" s="332">
        <v>376.00900000000001</v>
      </c>
      <c r="D33" s="334"/>
      <c r="E33" s="332">
        <v>337.46199999999999</v>
      </c>
      <c r="F33" s="334"/>
      <c r="G33" s="332">
        <v>258.57299999999998</v>
      </c>
      <c r="H33" s="333"/>
      <c r="I33" s="332">
        <v>376.476</v>
      </c>
      <c r="J33" s="336"/>
      <c r="K33" s="332">
        <v>404.35</v>
      </c>
      <c r="L33" s="336">
        <v>5</v>
      </c>
      <c r="M33" s="335"/>
      <c r="N33" s="332">
        <v>243</v>
      </c>
      <c r="O33" s="333"/>
      <c r="P33" s="332">
        <v>216</v>
      </c>
      <c r="Q33" s="333"/>
      <c r="R33" s="332">
        <v>168</v>
      </c>
      <c r="S33" s="333"/>
      <c r="T33" s="332">
        <v>241</v>
      </c>
      <c r="U33" s="333"/>
      <c r="V33" s="332">
        <v>260</v>
      </c>
      <c r="W33" s="333"/>
    </row>
    <row r="34" spans="1:23" ht="11.25" customHeight="1">
      <c r="A34" s="330" t="s">
        <v>33</v>
      </c>
      <c r="B34" s="331"/>
      <c r="C34" s="332">
        <v>11400</v>
      </c>
      <c r="D34" s="334"/>
      <c r="E34" s="332">
        <v>10400</v>
      </c>
      <c r="F34" s="334"/>
      <c r="G34" s="332">
        <v>10400</v>
      </c>
      <c r="H34" s="333"/>
      <c r="I34" s="332">
        <v>10300</v>
      </c>
      <c r="J34" s="333" t="s">
        <v>8</v>
      </c>
      <c r="K34" s="332">
        <v>9600</v>
      </c>
      <c r="L34" s="333"/>
      <c r="M34" s="335"/>
      <c r="N34" s="332">
        <v>7410</v>
      </c>
      <c r="O34" s="333"/>
      <c r="P34" s="332">
        <v>6800</v>
      </c>
      <c r="Q34" s="333" t="s">
        <v>8</v>
      </c>
      <c r="R34" s="332">
        <v>6800</v>
      </c>
      <c r="S34" s="333" t="s">
        <v>8</v>
      </c>
      <c r="T34" s="332">
        <v>6700</v>
      </c>
      <c r="U34" s="333" t="s">
        <v>8</v>
      </c>
      <c r="V34" s="332">
        <v>6300</v>
      </c>
      <c r="W34" s="333"/>
    </row>
    <row r="35" spans="1:23" ht="11.25" customHeight="1">
      <c r="A35" s="330" t="s">
        <v>646</v>
      </c>
      <c r="B35" s="331"/>
      <c r="C35" s="332">
        <v>10557.094999999999</v>
      </c>
      <c r="D35" s="334"/>
      <c r="E35" s="332">
        <v>11475</v>
      </c>
      <c r="F35" s="334"/>
      <c r="G35" s="332">
        <v>11325</v>
      </c>
      <c r="H35" s="333"/>
      <c r="I35" s="332">
        <v>8783</v>
      </c>
      <c r="J35" s="333" t="s">
        <v>8</v>
      </c>
      <c r="K35" s="332">
        <v>9000</v>
      </c>
      <c r="L35" s="333"/>
      <c r="M35" s="335"/>
      <c r="N35" s="332">
        <v>6334.2569999999996</v>
      </c>
      <c r="O35" s="333"/>
      <c r="P35" s="332">
        <v>6885</v>
      </c>
      <c r="Q35" s="334"/>
      <c r="R35" s="332">
        <v>6795</v>
      </c>
      <c r="S35" s="333"/>
      <c r="T35" s="332">
        <v>5270</v>
      </c>
      <c r="U35" s="333" t="s">
        <v>8</v>
      </c>
      <c r="V35" s="332">
        <v>5400</v>
      </c>
      <c r="W35" s="333"/>
    </row>
    <row r="36" spans="1:23" ht="11.25" customHeight="1">
      <c r="A36" s="330" t="s">
        <v>34</v>
      </c>
      <c r="B36" s="331"/>
      <c r="C36" s="332">
        <v>9.2850000000000001</v>
      </c>
      <c r="D36" s="334"/>
      <c r="E36" s="332">
        <v>6.625</v>
      </c>
      <c r="F36" s="334"/>
      <c r="G36" s="332">
        <v>5.6150000000000002</v>
      </c>
      <c r="H36" s="333"/>
      <c r="I36" s="332">
        <v>7.976</v>
      </c>
      <c r="J36" s="333" t="s">
        <v>8</v>
      </c>
      <c r="K36" s="332">
        <v>1.6279999999999999</v>
      </c>
      <c r="L36" s="338"/>
      <c r="M36" s="335"/>
      <c r="N36" s="332">
        <v>6.22</v>
      </c>
      <c r="O36" s="333"/>
      <c r="P36" s="332">
        <v>4.4000000000000004</v>
      </c>
      <c r="Q36" s="334"/>
      <c r="R36" s="332">
        <v>3.7</v>
      </c>
      <c r="S36" s="333" t="s">
        <v>9</v>
      </c>
      <c r="T36" s="332">
        <v>5</v>
      </c>
      <c r="U36" s="333" t="s">
        <v>8</v>
      </c>
      <c r="V36" s="332">
        <v>1.06</v>
      </c>
      <c r="W36" s="333"/>
    </row>
    <row r="37" spans="1:23" ht="11.25" customHeight="1">
      <c r="A37" s="330" t="s">
        <v>647</v>
      </c>
      <c r="B37" s="331"/>
      <c r="C37" s="332">
        <v>2120</v>
      </c>
      <c r="D37" s="334"/>
      <c r="E37" s="332">
        <v>2303.3760000000002</v>
      </c>
      <c r="F37" s="334"/>
      <c r="G37" s="332">
        <v>2691.78</v>
      </c>
      <c r="H37" s="333"/>
      <c r="I37" s="332">
        <v>1636</v>
      </c>
      <c r="J37" s="333" t="s">
        <v>8</v>
      </c>
      <c r="K37" s="332">
        <v>1500</v>
      </c>
      <c r="L37" s="333"/>
      <c r="M37" s="335"/>
      <c r="N37" s="332">
        <v>635</v>
      </c>
      <c r="O37" s="333" t="s">
        <v>9</v>
      </c>
      <c r="P37" s="332">
        <v>691</v>
      </c>
      <c r="Q37" s="334"/>
      <c r="R37" s="332">
        <v>807.5</v>
      </c>
      <c r="S37" s="333"/>
      <c r="T37" s="332">
        <v>480</v>
      </c>
      <c r="U37" s="333" t="s">
        <v>9</v>
      </c>
      <c r="V37" s="332">
        <v>450</v>
      </c>
      <c r="W37" s="333"/>
    </row>
    <row r="38" spans="1:23" ht="11.25" customHeight="1">
      <c r="A38" s="330" t="s">
        <v>35</v>
      </c>
      <c r="B38" s="331"/>
      <c r="C38" s="332">
        <v>637</v>
      </c>
      <c r="D38" s="334"/>
      <c r="E38" s="332">
        <v>520</v>
      </c>
      <c r="F38" s="334"/>
      <c r="G38" s="332">
        <v>543</v>
      </c>
      <c r="H38" s="333" t="s">
        <v>9</v>
      </c>
      <c r="I38" s="332">
        <v>500</v>
      </c>
      <c r="J38" s="333"/>
      <c r="K38" s="332">
        <v>515</v>
      </c>
      <c r="L38" s="333"/>
      <c r="M38" s="335"/>
      <c r="N38" s="332">
        <v>382</v>
      </c>
      <c r="O38" s="333"/>
      <c r="P38" s="332">
        <v>355</v>
      </c>
      <c r="Q38" s="334"/>
      <c r="R38" s="332">
        <v>369</v>
      </c>
      <c r="S38" s="333" t="s">
        <v>9</v>
      </c>
      <c r="T38" s="332">
        <v>340</v>
      </c>
      <c r="U38" s="333" t="s">
        <v>9</v>
      </c>
      <c r="V38" s="332">
        <v>350</v>
      </c>
      <c r="W38" s="333"/>
    </row>
    <row r="39" spans="1:23" ht="11.25" customHeight="1">
      <c r="A39" s="330" t="s">
        <v>36</v>
      </c>
      <c r="B39" s="331"/>
      <c r="C39" s="332">
        <v>4439</v>
      </c>
      <c r="D39" s="334"/>
      <c r="E39" s="332">
        <v>4230.3999999999996</v>
      </c>
      <c r="F39" s="334"/>
      <c r="G39" s="332">
        <v>4231</v>
      </c>
      <c r="H39" s="333"/>
      <c r="I39" s="332">
        <v>4563.5640000000003</v>
      </c>
      <c r="J39" s="333" t="s">
        <v>8</v>
      </c>
      <c r="K39" s="332">
        <v>4579.5370000000003</v>
      </c>
      <c r="L39" s="333" t="s">
        <v>17</v>
      </c>
      <c r="M39" s="335"/>
      <c r="N39" s="332">
        <v>2850</v>
      </c>
      <c r="O39" s="333"/>
      <c r="P39" s="332">
        <v>2715.3919999999998</v>
      </c>
      <c r="Q39" s="334"/>
      <c r="R39" s="332">
        <v>2812.7849999999999</v>
      </c>
      <c r="S39" s="333" t="s">
        <v>8</v>
      </c>
      <c r="T39" s="332">
        <v>3087.0149999999999</v>
      </c>
      <c r="U39" s="333" t="s">
        <v>8</v>
      </c>
      <c r="V39" s="332">
        <v>3092.88</v>
      </c>
      <c r="W39" s="333" t="s">
        <v>17</v>
      </c>
    </row>
    <row r="40" spans="1:23" ht="11.25" customHeight="1">
      <c r="A40" s="330" t="s">
        <v>648</v>
      </c>
      <c r="B40" s="331"/>
      <c r="C40" s="332">
        <v>16</v>
      </c>
      <c r="D40" s="334"/>
      <c r="E40" s="332">
        <v>16</v>
      </c>
      <c r="F40" s="334"/>
      <c r="G40" s="332">
        <v>15</v>
      </c>
      <c r="H40" s="333" t="s">
        <v>9</v>
      </c>
      <c r="I40" s="332">
        <v>14.5</v>
      </c>
      <c r="J40" s="333"/>
      <c r="K40" s="332">
        <v>15</v>
      </c>
      <c r="L40" s="333"/>
      <c r="M40" s="335"/>
      <c r="N40" s="332">
        <v>6.7</v>
      </c>
      <c r="O40" s="333"/>
      <c r="P40" s="332">
        <v>6.5</v>
      </c>
      <c r="Q40" s="334"/>
      <c r="R40" s="332">
        <v>6</v>
      </c>
      <c r="S40" s="333" t="s">
        <v>9</v>
      </c>
      <c r="T40" s="332">
        <v>5</v>
      </c>
      <c r="U40" s="333" t="s">
        <v>9</v>
      </c>
      <c r="V40" s="332">
        <v>5</v>
      </c>
      <c r="W40" s="333"/>
    </row>
    <row r="41" spans="1:23" ht="11.25" customHeight="1">
      <c r="A41" s="330" t="s">
        <v>649</v>
      </c>
      <c r="B41" s="331"/>
      <c r="C41" s="332">
        <v>459</v>
      </c>
      <c r="D41" s="334"/>
      <c r="E41" s="332">
        <v>131</v>
      </c>
      <c r="F41" s="334"/>
      <c r="G41" s="332" t="s">
        <v>12</v>
      </c>
      <c r="H41" s="333"/>
      <c r="I41" s="332" t="s">
        <v>12</v>
      </c>
      <c r="J41" s="333"/>
      <c r="K41" s="332" t="s">
        <v>12</v>
      </c>
      <c r="L41" s="333"/>
      <c r="M41" s="335"/>
      <c r="N41" s="332">
        <v>85</v>
      </c>
      <c r="O41" s="333"/>
      <c r="P41" s="332">
        <v>71</v>
      </c>
      <c r="Q41" s="334"/>
      <c r="R41" s="332" t="s">
        <v>12</v>
      </c>
      <c r="S41" s="333"/>
      <c r="T41" s="332" t="s">
        <v>12</v>
      </c>
      <c r="U41" s="333"/>
      <c r="V41" s="332" t="s">
        <v>12</v>
      </c>
      <c r="W41" s="333"/>
    </row>
    <row r="42" spans="1:23" ht="11.25" customHeight="1">
      <c r="A42" s="330" t="s">
        <v>37</v>
      </c>
      <c r="B42" s="331"/>
      <c r="C42" s="332">
        <v>72343</v>
      </c>
      <c r="D42" s="334"/>
      <c r="E42" s="332">
        <v>81311</v>
      </c>
      <c r="F42" s="334"/>
      <c r="G42" s="332">
        <v>86630</v>
      </c>
      <c r="H42" s="333"/>
      <c r="I42" s="332">
        <v>82500</v>
      </c>
      <c r="J42" s="333"/>
      <c r="K42" s="332">
        <v>84236.4</v>
      </c>
      <c r="L42" s="336">
        <v>5</v>
      </c>
      <c r="M42" s="335"/>
      <c r="N42" s="332">
        <v>41700</v>
      </c>
      <c r="O42" s="333"/>
      <c r="P42" s="332">
        <v>46900</v>
      </c>
      <c r="Q42" s="334"/>
      <c r="R42" s="332">
        <v>50000</v>
      </c>
      <c r="S42" s="333"/>
      <c r="T42" s="332">
        <v>48000</v>
      </c>
      <c r="U42" s="333" t="s">
        <v>9</v>
      </c>
      <c r="V42" s="332">
        <v>49000</v>
      </c>
      <c r="W42" s="333"/>
    </row>
    <row r="43" spans="1:23" ht="11.25" customHeight="1">
      <c r="A43" s="330" t="s">
        <v>650</v>
      </c>
      <c r="B43" s="331"/>
      <c r="C43" s="332">
        <v>100</v>
      </c>
      <c r="D43" s="334"/>
      <c r="E43" s="332">
        <v>50</v>
      </c>
      <c r="F43" s="334"/>
      <c r="G43" s="332">
        <v>50</v>
      </c>
      <c r="H43" s="333"/>
      <c r="I43" s="332" t="s">
        <v>12</v>
      </c>
      <c r="J43" s="333"/>
      <c r="K43" s="332" t="s">
        <v>12</v>
      </c>
      <c r="L43" s="333"/>
      <c r="M43" s="335"/>
      <c r="N43" s="332">
        <v>31</v>
      </c>
      <c r="O43" s="333"/>
      <c r="P43" s="332">
        <v>15</v>
      </c>
      <c r="Q43" s="334"/>
      <c r="R43" s="332">
        <v>15</v>
      </c>
      <c r="S43" s="333"/>
      <c r="T43" s="332" t="s">
        <v>12</v>
      </c>
      <c r="U43" s="333"/>
      <c r="V43" s="332" t="s">
        <v>12</v>
      </c>
      <c r="W43" s="333"/>
    </row>
    <row r="44" spans="1:23" ht="11.25" customHeight="1">
      <c r="A44" s="330" t="s">
        <v>38</v>
      </c>
      <c r="B44" s="331"/>
      <c r="C44" s="332">
        <v>479</v>
      </c>
      <c r="D44" s="334"/>
      <c r="E44" s="332">
        <v>479</v>
      </c>
      <c r="F44" s="334"/>
      <c r="G44" s="332">
        <v>477</v>
      </c>
      <c r="H44" s="333"/>
      <c r="I44" s="332">
        <v>470</v>
      </c>
      <c r="J44" s="333"/>
      <c r="K44" s="332">
        <v>450</v>
      </c>
      <c r="L44" s="333"/>
      <c r="M44" s="335"/>
      <c r="N44" s="332">
        <v>215</v>
      </c>
      <c r="O44" s="333"/>
      <c r="P44" s="332">
        <v>200</v>
      </c>
      <c r="Q44" s="334"/>
      <c r="R44" s="332">
        <v>200</v>
      </c>
      <c r="S44" s="333" t="s">
        <v>9</v>
      </c>
      <c r="T44" s="332">
        <v>200</v>
      </c>
      <c r="U44" s="333" t="s">
        <v>9</v>
      </c>
      <c r="V44" s="332">
        <v>200</v>
      </c>
      <c r="W44" s="333"/>
    </row>
    <row r="45" spans="1:23" ht="11.25" customHeight="1">
      <c r="A45" s="330" t="s">
        <v>651</v>
      </c>
      <c r="B45" s="331"/>
      <c r="C45" s="332">
        <v>32948</v>
      </c>
      <c r="D45" s="334"/>
      <c r="E45" s="332">
        <v>29507.848999999998</v>
      </c>
      <c r="F45" s="334"/>
      <c r="G45" s="332">
        <v>33707.364000000001</v>
      </c>
      <c r="H45" s="333"/>
      <c r="I45" s="332">
        <v>34757.159</v>
      </c>
      <c r="J45" s="333"/>
      <c r="K45" s="332">
        <v>36484.014999999999</v>
      </c>
      <c r="L45" s="336">
        <v>5</v>
      </c>
      <c r="M45" s="335"/>
      <c r="N45" s="332">
        <v>20400</v>
      </c>
      <c r="O45" s="333"/>
      <c r="P45" s="332">
        <v>18442</v>
      </c>
      <c r="Q45" s="334"/>
      <c r="R45" s="332">
        <v>21570</v>
      </c>
      <c r="S45" s="333"/>
      <c r="T45" s="332">
        <v>22240</v>
      </c>
      <c r="U45" s="333"/>
      <c r="V45" s="332">
        <v>23350</v>
      </c>
      <c r="W45" s="336">
        <v>5</v>
      </c>
    </row>
    <row r="46" spans="1:23" ht="11.25" customHeight="1">
      <c r="A46" s="330" t="s">
        <v>39</v>
      </c>
      <c r="B46" s="331"/>
      <c r="C46" s="332">
        <v>20930</v>
      </c>
      <c r="D46" s="334"/>
      <c r="E46" s="332">
        <v>18558</v>
      </c>
      <c r="F46" s="334"/>
      <c r="G46" s="332">
        <v>20557</v>
      </c>
      <c r="H46" s="333" t="s">
        <v>8</v>
      </c>
      <c r="I46" s="332">
        <v>19486</v>
      </c>
      <c r="J46" s="333" t="s">
        <v>8</v>
      </c>
      <c r="K46" s="332">
        <v>20000</v>
      </c>
      <c r="L46" s="333"/>
      <c r="M46" s="335"/>
      <c r="N46" s="332">
        <v>12977</v>
      </c>
      <c r="O46" s="333"/>
      <c r="P46" s="332">
        <v>11506</v>
      </c>
      <c r="Q46" s="334"/>
      <c r="R46" s="332">
        <v>13556</v>
      </c>
      <c r="S46" s="333" t="s">
        <v>8</v>
      </c>
      <c r="T46" s="332">
        <v>12811</v>
      </c>
      <c r="U46" s="333" t="s">
        <v>8</v>
      </c>
      <c r="V46" s="332">
        <v>13000</v>
      </c>
      <c r="W46" s="333"/>
    </row>
    <row r="47" spans="1:23" ht="11.25" customHeight="1">
      <c r="A47" s="330" t="s">
        <v>40</v>
      </c>
      <c r="B47" s="331"/>
      <c r="C47" s="332">
        <v>90.7</v>
      </c>
      <c r="D47" s="334"/>
      <c r="E47" s="332">
        <v>122.633</v>
      </c>
      <c r="F47" s="334"/>
      <c r="G47" s="339" t="s">
        <v>41</v>
      </c>
      <c r="H47" s="334"/>
      <c r="I47" s="337" t="s">
        <v>41</v>
      </c>
      <c r="J47" s="333" t="s">
        <v>8</v>
      </c>
      <c r="K47" s="332">
        <v>570.11</v>
      </c>
      <c r="L47" s="336">
        <v>5</v>
      </c>
      <c r="M47" s="335"/>
      <c r="N47" s="332">
        <v>46</v>
      </c>
      <c r="O47" s="333" t="s">
        <v>9</v>
      </c>
      <c r="P47" s="332">
        <v>61</v>
      </c>
      <c r="Q47" s="334"/>
      <c r="R47" s="339" t="s">
        <v>41</v>
      </c>
      <c r="S47" s="334"/>
      <c r="T47" s="337" t="s">
        <v>41</v>
      </c>
      <c r="U47" s="333" t="s">
        <v>8</v>
      </c>
      <c r="V47" s="332">
        <v>285</v>
      </c>
      <c r="W47" s="333"/>
    </row>
    <row r="48" spans="1:23" ht="11.25" customHeight="1">
      <c r="A48" s="340" t="s">
        <v>42</v>
      </c>
      <c r="B48" s="341"/>
      <c r="C48" s="342">
        <v>219.6</v>
      </c>
      <c r="D48" s="343"/>
      <c r="E48" s="342">
        <v>219</v>
      </c>
      <c r="F48" s="343"/>
      <c r="G48" s="342">
        <v>182</v>
      </c>
      <c r="H48" s="343"/>
      <c r="I48" s="342">
        <v>204</v>
      </c>
      <c r="J48" s="344" t="s">
        <v>8</v>
      </c>
      <c r="K48" s="342">
        <v>197.5</v>
      </c>
      <c r="L48" s="345">
        <v>5</v>
      </c>
      <c r="M48" s="346"/>
      <c r="N48" s="342">
        <v>119</v>
      </c>
      <c r="O48" s="343"/>
      <c r="P48" s="342">
        <v>119.6</v>
      </c>
      <c r="Q48" s="343" t="s">
        <v>43</v>
      </c>
      <c r="R48" s="342">
        <v>98</v>
      </c>
      <c r="S48" s="343"/>
      <c r="T48" s="342">
        <v>109</v>
      </c>
      <c r="U48" s="344" t="s">
        <v>44</v>
      </c>
      <c r="V48" s="342">
        <v>105.4</v>
      </c>
      <c r="W48" s="344">
        <v>5</v>
      </c>
    </row>
    <row r="49" spans="1:23" ht="11.25" customHeight="1">
      <c r="A49" s="340" t="s">
        <v>45</v>
      </c>
      <c r="B49" s="331"/>
      <c r="C49" s="332">
        <v>5885</v>
      </c>
      <c r="D49" s="334"/>
      <c r="E49" s="332">
        <v>4846</v>
      </c>
      <c r="F49" s="334"/>
      <c r="G49" s="332">
        <v>4076</v>
      </c>
      <c r="H49" s="334"/>
      <c r="I49" s="332">
        <v>3932</v>
      </c>
      <c r="J49" s="334"/>
      <c r="K49" s="332">
        <v>4500</v>
      </c>
      <c r="L49" s="334"/>
      <c r="M49" s="335"/>
      <c r="N49" s="332">
        <v>3200</v>
      </c>
      <c r="O49" s="334" t="s">
        <v>9</v>
      </c>
      <c r="P49" s="332">
        <v>2600</v>
      </c>
      <c r="Q49" s="334"/>
      <c r="R49" s="332">
        <v>2200</v>
      </c>
      <c r="S49" s="334"/>
      <c r="T49" s="332">
        <v>2100</v>
      </c>
      <c r="U49" s="334" t="s">
        <v>9</v>
      </c>
      <c r="V49" s="332">
        <v>2400</v>
      </c>
      <c r="W49" s="334"/>
    </row>
    <row r="50" spans="1:23" ht="11.25" customHeight="1">
      <c r="A50" s="347" t="s">
        <v>46</v>
      </c>
      <c r="B50" s="331"/>
      <c r="C50" s="332"/>
      <c r="D50" s="334"/>
      <c r="E50" s="332"/>
      <c r="F50" s="334"/>
      <c r="G50" s="332"/>
      <c r="H50" s="334"/>
      <c r="I50" s="332"/>
      <c r="J50" s="334"/>
      <c r="K50" s="332"/>
      <c r="L50" s="334"/>
      <c r="M50" s="335"/>
      <c r="N50" s="332"/>
      <c r="O50" s="334"/>
      <c r="P50" s="332"/>
      <c r="Q50" s="334"/>
      <c r="R50" s="332"/>
      <c r="S50" s="334"/>
      <c r="T50" s="332"/>
      <c r="U50" s="334"/>
      <c r="V50" s="332"/>
      <c r="W50" s="334"/>
    </row>
    <row r="51" spans="1:23" ht="11.25" customHeight="1">
      <c r="A51" s="348" t="s">
        <v>47</v>
      </c>
      <c r="B51" s="331"/>
      <c r="C51" s="332" t="s">
        <v>13</v>
      </c>
      <c r="D51" s="334"/>
      <c r="E51" s="332">
        <v>3.169</v>
      </c>
      <c r="F51" s="334"/>
      <c r="G51" s="332">
        <v>2.2309999999999999</v>
      </c>
      <c r="H51" s="334"/>
      <c r="I51" s="332" t="s">
        <v>12</v>
      </c>
      <c r="J51" s="333" t="s">
        <v>8</v>
      </c>
      <c r="K51" s="349" t="s">
        <v>12</v>
      </c>
      <c r="L51" s="334"/>
      <c r="M51" s="335"/>
      <c r="N51" s="332" t="s">
        <v>13</v>
      </c>
      <c r="O51" s="334"/>
      <c r="P51" s="332">
        <v>2.0299999999999998</v>
      </c>
      <c r="Q51" s="333"/>
      <c r="R51" s="332">
        <v>1.43</v>
      </c>
      <c r="S51" s="333" t="s">
        <v>9</v>
      </c>
      <c r="T51" s="349" t="s">
        <v>12</v>
      </c>
      <c r="U51" s="333" t="s">
        <v>8</v>
      </c>
      <c r="V51" s="349" t="s">
        <v>12</v>
      </c>
      <c r="W51" s="334"/>
    </row>
    <row r="52" spans="1:23" ht="11.25" customHeight="1">
      <c r="A52" s="348" t="s">
        <v>48</v>
      </c>
      <c r="B52" s="331"/>
      <c r="C52" s="337" t="s">
        <v>27</v>
      </c>
      <c r="D52" s="333" t="s">
        <v>9</v>
      </c>
      <c r="E52" s="337" t="s">
        <v>27</v>
      </c>
      <c r="F52" s="334"/>
      <c r="G52" s="332">
        <v>2.4009999999999998</v>
      </c>
      <c r="H52" s="334"/>
      <c r="I52" s="332">
        <v>1.236</v>
      </c>
      <c r="J52" s="333" t="s">
        <v>8</v>
      </c>
      <c r="K52" s="332">
        <v>1.3</v>
      </c>
      <c r="L52" s="334"/>
      <c r="M52" s="335"/>
      <c r="N52" s="337" t="s">
        <v>27</v>
      </c>
      <c r="O52" s="333" t="s">
        <v>9</v>
      </c>
      <c r="P52" s="337" t="s">
        <v>27</v>
      </c>
      <c r="Q52" s="333" t="s">
        <v>9</v>
      </c>
      <c r="R52" s="332">
        <v>1.54</v>
      </c>
      <c r="S52" s="333" t="s">
        <v>9</v>
      </c>
      <c r="T52" s="332">
        <v>0.79</v>
      </c>
      <c r="U52" s="333" t="s">
        <v>9</v>
      </c>
      <c r="V52" s="332">
        <v>0.83</v>
      </c>
      <c r="W52" s="334"/>
    </row>
    <row r="53" spans="1:23" ht="11.25" customHeight="1">
      <c r="A53" s="340" t="s">
        <v>49</v>
      </c>
      <c r="B53" s="331"/>
      <c r="C53" s="332">
        <v>50758</v>
      </c>
      <c r="D53" s="334"/>
      <c r="E53" s="332">
        <v>47769.1</v>
      </c>
      <c r="F53" s="334"/>
      <c r="G53" s="332">
        <v>55883.199999999997</v>
      </c>
      <c r="H53" s="334"/>
      <c r="I53" s="332">
        <v>54650</v>
      </c>
      <c r="J53" s="336"/>
      <c r="K53" s="332">
        <v>58900</v>
      </c>
      <c r="L53" s="336">
        <v>5</v>
      </c>
      <c r="M53" s="335"/>
      <c r="N53" s="332">
        <v>28000</v>
      </c>
      <c r="O53" s="333" t="s">
        <v>43</v>
      </c>
      <c r="P53" s="332">
        <v>26200</v>
      </c>
      <c r="Q53" s="333"/>
      <c r="R53" s="332">
        <v>30600</v>
      </c>
      <c r="S53" s="333" t="s">
        <v>9</v>
      </c>
      <c r="T53" s="332">
        <v>30000</v>
      </c>
      <c r="U53" s="333" t="s">
        <v>9</v>
      </c>
      <c r="V53" s="332">
        <v>32300</v>
      </c>
      <c r="W53" s="334" t="s">
        <v>43</v>
      </c>
    </row>
    <row r="54" spans="1:23" ht="11.25" customHeight="1">
      <c r="A54" s="340" t="s">
        <v>50</v>
      </c>
      <c r="B54" s="331"/>
      <c r="C54" s="332">
        <v>1.1879999999999999</v>
      </c>
      <c r="D54" s="334"/>
      <c r="E54" s="332">
        <v>1</v>
      </c>
      <c r="F54" s="334"/>
      <c r="G54" s="332">
        <v>1.0329999999999999</v>
      </c>
      <c r="H54" s="333"/>
      <c r="I54" s="332">
        <v>1</v>
      </c>
      <c r="J54" s="333"/>
      <c r="K54" s="332">
        <v>0.5</v>
      </c>
      <c r="L54" s="333" t="s">
        <v>43</v>
      </c>
      <c r="M54" s="335"/>
      <c r="N54" s="332">
        <v>0.6</v>
      </c>
      <c r="O54" s="333" t="s">
        <v>43</v>
      </c>
      <c r="P54" s="332">
        <v>0.54</v>
      </c>
      <c r="Q54" s="333"/>
      <c r="R54" s="332">
        <v>0.56799999999999995</v>
      </c>
      <c r="S54" s="333" t="s">
        <v>9</v>
      </c>
      <c r="T54" s="332">
        <v>0.5</v>
      </c>
      <c r="U54" s="333" t="s">
        <v>9</v>
      </c>
      <c r="V54" s="337" t="s">
        <v>27</v>
      </c>
      <c r="W54" s="334" t="s">
        <v>43</v>
      </c>
    </row>
    <row r="55" spans="1:23" ht="11.25" customHeight="1">
      <c r="A55" s="340" t="s">
        <v>51</v>
      </c>
      <c r="B55" s="331"/>
      <c r="C55" s="332">
        <v>62931</v>
      </c>
      <c r="D55" s="334"/>
      <c r="E55" s="332">
        <v>57749</v>
      </c>
      <c r="F55" s="334"/>
      <c r="G55" s="332">
        <v>63089</v>
      </c>
      <c r="H55" s="333"/>
      <c r="I55" s="332">
        <v>46192</v>
      </c>
      <c r="J55" s="336"/>
      <c r="K55" s="332">
        <v>51570</v>
      </c>
      <c r="L55" s="336">
        <v>5</v>
      </c>
      <c r="M55" s="335"/>
      <c r="N55" s="332">
        <v>39724</v>
      </c>
      <c r="O55" s="333" t="s">
        <v>43</v>
      </c>
      <c r="P55" s="332">
        <v>36530</v>
      </c>
      <c r="Q55" s="333" t="s">
        <v>43</v>
      </c>
      <c r="R55" s="332">
        <v>39703</v>
      </c>
      <c r="S55" s="333" t="s">
        <v>9</v>
      </c>
      <c r="T55" s="332">
        <v>29263</v>
      </c>
      <c r="U55" s="333" t="s">
        <v>8</v>
      </c>
      <c r="V55" s="332">
        <v>32499</v>
      </c>
      <c r="W55" s="336">
        <v>5</v>
      </c>
    </row>
    <row r="56" spans="1:23" ht="11.25" customHeight="1">
      <c r="A56" s="340" t="s">
        <v>52</v>
      </c>
      <c r="B56" s="331"/>
      <c r="C56" s="332">
        <v>16552.755000000001</v>
      </c>
      <c r="D56" s="334"/>
      <c r="E56" s="332">
        <v>14050.826999999999</v>
      </c>
      <c r="F56" s="334"/>
      <c r="G56" s="332">
        <v>17352.963</v>
      </c>
      <c r="H56" s="333"/>
      <c r="I56" s="332">
        <v>16902</v>
      </c>
      <c r="J56" s="333" t="s">
        <v>8</v>
      </c>
      <c r="K56" s="332">
        <v>18000</v>
      </c>
      <c r="L56" s="334" t="s">
        <v>43</v>
      </c>
      <c r="M56" s="335"/>
      <c r="N56" s="332">
        <v>11014.203</v>
      </c>
      <c r="O56" s="333" t="s">
        <v>43</v>
      </c>
      <c r="P56" s="332">
        <v>9292.2170000000006</v>
      </c>
      <c r="Q56" s="333" t="s">
        <v>43</v>
      </c>
      <c r="R56" s="332">
        <v>11092.013000000001</v>
      </c>
      <c r="S56" s="333" t="s">
        <v>8</v>
      </c>
      <c r="T56" s="332">
        <v>10817</v>
      </c>
      <c r="U56" s="333" t="s">
        <v>8</v>
      </c>
      <c r="V56" s="332">
        <v>11500</v>
      </c>
      <c r="W56" s="334" t="s">
        <v>43</v>
      </c>
    </row>
    <row r="57" spans="1:23" ht="11.25" customHeight="1">
      <c r="A57" s="340" t="s">
        <v>53</v>
      </c>
      <c r="B57" s="331"/>
      <c r="C57" s="332">
        <v>371.589</v>
      </c>
      <c r="D57" s="334"/>
      <c r="E57" s="332">
        <v>598.64400000000001</v>
      </c>
      <c r="F57" s="334"/>
      <c r="G57" s="332">
        <v>450.63600000000002</v>
      </c>
      <c r="H57" s="333"/>
      <c r="I57" s="332">
        <v>360.86200000000002</v>
      </c>
      <c r="J57" s="333"/>
      <c r="K57" s="332">
        <v>271.81200000000001</v>
      </c>
      <c r="L57" s="350">
        <v>5</v>
      </c>
      <c r="M57" s="335"/>
      <c r="N57" s="332">
        <v>190</v>
      </c>
      <c r="O57" s="333" t="s">
        <v>9</v>
      </c>
      <c r="P57" s="332">
        <v>300</v>
      </c>
      <c r="Q57" s="333" t="s">
        <v>9</v>
      </c>
      <c r="R57" s="332">
        <v>226</v>
      </c>
      <c r="S57" s="333" t="s">
        <v>9</v>
      </c>
      <c r="T57" s="332">
        <v>184</v>
      </c>
      <c r="U57" s="333" t="s">
        <v>9</v>
      </c>
      <c r="V57" s="332">
        <v>139</v>
      </c>
      <c r="W57" s="334" t="s">
        <v>43</v>
      </c>
    </row>
    <row r="58" spans="1:23" ht="11.25" customHeight="1">
      <c r="A58" s="348" t="s">
        <v>54</v>
      </c>
      <c r="B58" s="351"/>
      <c r="C58" s="352">
        <v>1045112.275</v>
      </c>
      <c r="D58" s="353" t="s">
        <v>8</v>
      </c>
      <c r="E58" s="352">
        <v>1016270.24</v>
      </c>
      <c r="F58" s="353" t="s">
        <v>8</v>
      </c>
      <c r="G58" s="352">
        <v>1072687.804</v>
      </c>
      <c r="H58" s="353" t="s">
        <v>8</v>
      </c>
      <c r="I58" s="352">
        <v>1050423.456</v>
      </c>
      <c r="J58" s="353" t="s">
        <v>8</v>
      </c>
      <c r="K58" s="352">
        <v>1084949.7039999999</v>
      </c>
      <c r="L58" s="354"/>
      <c r="M58" s="355"/>
      <c r="N58" s="352">
        <v>573308.18700000003</v>
      </c>
      <c r="O58" s="353" t="s">
        <v>8</v>
      </c>
      <c r="P58" s="352">
        <v>555075.10800000001</v>
      </c>
      <c r="Q58" s="353" t="s">
        <v>8</v>
      </c>
      <c r="R58" s="352">
        <v>586974.23899999994</v>
      </c>
      <c r="S58" s="353" t="s">
        <v>8</v>
      </c>
      <c r="T58" s="352">
        <v>574869.66799999995</v>
      </c>
      <c r="U58" s="353" t="s">
        <v>8</v>
      </c>
      <c r="V58" s="352">
        <v>592699.77500000002</v>
      </c>
      <c r="W58" s="354"/>
    </row>
    <row r="59" spans="1:23" ht="11.25" customHeight="1">
      <c r="A59" s="360" t="s">
        <v>55</v>
      </c>
      <c r="B59" s="360"/>
      <c r="C59" s="360"/>
      <c r="D59" s="360"/>
      <c r="E59" s="360"/>
      <c r="F59" s="360"/>
      <c r="G59" s="360"/>
      <c r="H59" s="360"/>
      <c r="I59" s="360"/>
      <c r="J59" s="360"/>
      <c r="K59" s="360"/>
      <c r="L59" s="360"/>
      <c r="M59" s="360"/>
      <c r="N59" s="360"/>
      <c r="O59" s="360"/>
      <c r="P59" s="360"/>
      <c r="Q59" s="360"/>
      <c r="R59" s="360"/>
      <c r="S59" s="360"/>
      <c r="T59" s="360"/>
      <c r="U59" s="360"/>
      <c r="V59" s="360"/>
      <c r="W59" s="360"/>
    </row>
    <row r="60" spans="1:23" ht="11.25" customHeight="1">
      <c r="A60" s="358" t="s">
        <v>56</v>
      </c>
      <c r="B60" s="358"/>
      <c r="C60" s="358"/>
      <c r="D60" s="358"/>
      <c r="E60" s="358"/>
      <c r="F60" s="358"/>
      <c r="G60" s="358"/>
      <c r="H60" s="358"/>
      <c r="I60" s="358"/>
      <c r="J60" s="358"/>
      <c r="K60" s="358"/>
      <c r="L60" s="358"/>
      <c r="M60" s="358"/>
      <c r="N60" s="358"/>
      <c r="O60" s="358"/>
      <c r="P60" s="358"/>
      <c r="Q60" s="358"/>
      <c r="R60" s="358"/>
      <c r="S60" s="358"/>
      <c r="T60" s="358"/>
      <c r="U60" s="358"/>
      <c r="V60" s="358"/>
      <c r="W60" s="358"/>
    </row>
    <row r="61" spans="1:23" ht="11.25" customHeight="1">
      <c r="A61" s="361" t="s">
        <v>57</v>
      </c>
      <c r="B61" s="361"/>
      <c r="C61" s="361"/>
      <c r="D61" s="361"/>
      <c r="E61" s="361"/>
      <c r="F61" s="361"/>
      <c r="G61" s="361"/>
      <c r="H61" s="361"/>
      <c r="I61" s="361"/>
      <c r="J61" s="361"/>
      <c r="K61" s="361"/>
      <c r="L61" s="361"/>
      <c r="M61" s="361"/>
      <c r="N61" s="361"/>
      <c r="O61" s="361"/>
      <c r="P61" s="361"/>
      <c r="Q61" s="361"/>
      <c r="R61" s="361"/>
      <c r="S61" s="361"/>
      <c r="T61" s="361"/>
      <c r="U61" s="361"/>
      <c r="V61" s="361"/>
      <c r="W61" s="361"/>
    </row>
    <row r="62" spans="1:23" ht="11.25" customHeight="1">
      <c r="A62" s="365" t="s">
        <v>58</v>
      </c>
      <c r="B62" s="365"/>
      <c r="C62" s="365"/>
      <c r="D62" s="365"/>
      <c r="E62" s="365"/>
      <c r="F62" s="365"/>
      <c r="G62" s="365"/>
      <c r="H62" s="365"/>
      <c r="I62" s="365"/>
      <c r="J62" s="365"/>
      <c r="K62" s="365"/>
      <c r="L62" s="365"/>
      <c r="M62" s="365"/>
      <c r="N62" s="365"/>
      <c r="O62" s="365"/>
      <c r="P62" s="365"/>
      <c r="Q62" s="365"/>
      <c r="R62" s="365"/>
      <c r="S62" s="365"/>
      <c r="T62" s="365"/>
      <c r="U62" s="365"/>
      <c r="V62" s="365"/>
      <c r="W62" s="365"/>
    </row>
    <row r="63" spans="1:23" ht="11.25" customHeight="1">
      <c r="A63" s="358" t="s">
        <v>59</v>
      </c>
      <c r="B63" s="358"/>
      <c r="C63" s="358"/>
      <c r="D63" s="358"/>
      <c r="E63" s="358"/>
      <c r="F63" s="358"/>
      <c r="G63" s="358"/>
      <c r="H63" s="358"/>
      <c r="I63" s="358"/>
      <c r="J63" s="358"/>
      <c r="K63" s="358"/>
      <c r="L63" s="358"/>
      <c r="M63" s="358"/>
      <c r="N63" s="358"/>
      <c r="O63" s="358"/>
      <c r="P63" s="358"/>
      <c r="Q63" s="358"/>
      <c r="R63" s="358"/>
      <c r="S63" s="358"/>
      <c r="T63" s="358"/>
      <c r="U63" s="358"/>
      <c r="V63" s="358"/>
      <c r="W63" s="358"/>
    </row>
    <row r="64" spans="1:23" ht="11.25" customHeight="1">
      <c r="A64" s="359" t="s">
        <v>60</v>
      </c>
      <c r="B64" s="359"/>
      <c r="C64" s="359"/>
      <c r="D64" s="359"/>
      <c r="E64" s="359"/>
      <c r="F64" s="359"/>
      <c r="G64" s="359"/>
      <c r="H64" s="359"/>
      <c r="I64" s="359"/>
      <c r="J64" s="359"/>
      <c r="K64" s="359"/>
      <c r="L64" s="359"/>
      <c r="M64" s="359"/>
      <c r="N64" s="359"/>
      <c r="O64" s="359"/>
      <c r="P64" s="359"/>
      <c r="Q64" s="359"/>
      <c r="R64" s="359"/>
      <c r="S64" s="359"/>
      <c r="T64" s="359"/>
      <c r="U64" s="359"/>
      <c r="V64" s="359"/>
      <c r="W64" s="359"/>
    </row>
    <row r="65" spans="1:23" ht="11.25" customHeight="1">
      <c r="A65" s="358" t="s">
        <v>61</v>
      </c>
      <c r="B65" s="358"/>
      <c r="C65" s="358"/>
      <c r="D65" s="358"/>
      <c r="E65" s="358"/>
      <c r="F65" s="358"/>
      <c r="G65" s="358"/>
      <c r="H65" s="358"/>
      <c r="I65" s="358"/>
      <c r="J65" s="358"/>
      <c r="K65" s="358"/>
      <c r="L65" s="358"/>
      <c r="M65" s="358"/>
      <c r="N65" s="358"/>
      <c r="O65" s="358"/>
      <c r="P65" s="358"/>
      <c r="Q65" s="358"/>
      <c r="R65" s="358"/>
      <c r="S65" s="358"/>
      <c r="T65" s="358"/>
      <c r="U65" s="358"/>
      <c r="V65" s="358"/>
      <c r="W65" s="358"/>
    </row>
    <row r="66" spans="1:23" ht="11.25" customHeight="1">
      <c r="A66" s="358" t="s">
        <v>62</v>
      </c>
      <c r="B66" s="358"/>
      <c r="C66" s="358"/>
      <c r="D66" s="358"/>
      <c r="E66" s="358"/>
      <c r="F66" s="358"/>
      <c r="G66" s="358"/>
      <c r="H66" s="358"/>
      <c r="I66" s="358"/>
      <c r="J66" s="358"/>
      <c r="K66" s="358"/>
      <c r="L66" s="358"/>
      <c r="M66" s="358"/>
      <c r="N66" s="358"/>
      <c r="O66" s="358"/>
      <c r="P66" s="358"/>
      <c r="Q66" s="358"/>
      <c r="R66" s="358"/>
      <c r="S66" s="358"/>
      <c r="T66" s="358"/>
      <c r="U66" s="358"/>
      <c r="V66" s="358"/>
      <c r="W66" s="358"/>
    </row>
    <row r="67" spans="1:23" ht="11.25" customHeight="1">
      <c r="A67" s="358" t="s">
        <v>63</v>
      </c>
      <c r="B67" s="358"/>
      <c r="C67" s="358"/>
      <c r="D67" s="358"/>
      <c r="E67" s="358"/>
      <c r="F67" s="358"/>
      <c r="G67" s="358"/>
      <c r="H67" s="358"/>
      <c r="I67" s="358"/>
      <c r="J67" s="358"/>
      <c r="K67" s="358"/>
      <c r="L67" s="358"/>
      <c r="M67" s="358"/>
      <c r="N67" s="358"/>
      <c r="O67" s="358"/>
      <c r="P67" s="358"/>
      <c r="Q67" s="358"/>
      <c r="R67" s="358"/>
      <c r="S67" s="358"/>
      <c r="T67" s="358"/>
      <c r="U67" s="358"/>
      <c r="V67" s="358"/>
      <c r="W67" s="358"/>
    </row>
    <row r="68" spans="1:23" ht="11.25" customHeight="1">
      <c r="A68" s="358" t="s">
        <v>64</v>
      </c>
      <c r="B68" s="358"/>
      <c r="C68" s="358"/>
      <c r="D68" s="358"/>
      <c r="E68" s="358"/>
      <c r="F68" s="358"/>
      <c r="G68" s="358"/>
      <c r="H68" s="358"/>
      <c r="I68" s="358"/>
      <c r="J68" s="358"/>
      <c r="K68" s="358"/>
      <c r="L68" s="358"/>
      <c r="M68" s="358"/>
      <c r="N68" s="358"/>
      <c r="O68" s="358"/>
      <c r="P68" s="358"/>
      <c r="Q68" s="358"/>
      <c r="R68" s="358"/>
      <c r="S68" s="358"/>
      <c r="T68" s="358"/>
      <c r="U68" s="358"/>
      <c r="V68" s="358"/>
      <c r="W68" s="358"/>
    </row>
    <row r="69" spans="1:23" ht="11.25" customHeight="1">
      <c r="A69" s="359" t="s">
        <v>65</v>
      </c>
      <c r="B69" s="359"/>
      <c r="C69" s="359"/>
      <c r="D69" s="359"/>
      <c r="E69" s="359"/>
      <c r="F69" s="359"/>
      <c r="G69" s="359"/>
      <c r="H69" s="359"/>
      <c r="I69" s="359"/>
      <c r="J69" s="359"/>
      <c r="K69" s="359"/>
      <c r="L69" s="359"/>
      <c r="M69" s="359"/>
      <c r="N69" s="359"/>
      <c r="O69" s="359"/>
      <c r="P69" s="359"/>
      <c r="Q69" s="359"/>
      <c r="R69" s="359"/>
      <c r="S69" s="359"/>
      <c r="T69" s="359"/>
      <c r="U69" s="359"/>
      <c r="V69" s="359"/>
      <c r="W69" s="359"/>
    </row>
    <row r="70" spans="1:23" ht="11.25" customHeight="1">
      <c r="A70" s="358" t="s">
        <v>66</v>
      </c>
      <c r="B70" s="358"/>
      <c r="C70" s="358"/>
      <c r="D70" s="358"/>
      <c r="E70" s="358"/>
      <c r="F70" s="358"/>
      <c r="G70" s="358"/>
      <c r="H70" s="358"/>
      <c r="I70" s="358"/>
      <c r="J70" s="358"/>
      <c r="K70" s="358"/>
      <c r="L70" s="358"/>
      <c r="M70" s="358"/>
      <c r="N70" s="358"/>
      <c r="O70" s="358"/>
      <c r="P70" s="358"/>
      <c r="Q70" s="358"/>
      <c r="R70" s="358"/>
      <c r="S70" s="358"/>
      <c r="T70" s="358"/>
      <c r="U70" s="358"/>
      <c r="V70" s="358"/>
      <c r="W70" s="358"/>
    </row>
    <row r="71" spans="1:23" ht="11.25" customHeight="1">
      <c r="A71" s="358" t="s">
        <v>67</v>
      </c>
      <c r="B71" s="358"/>
      <c r="C71" s="358"/>
      <c r="D71" s="358"/>
      <c r="E71" s="358"/>
      <c r="F71" s="358"/>
      <c r="G71" s="358"/>
      <c r="H71" s="358"/>
      <c r="I71" s="358"/>
      <c r="J71" s="358"/>
      <c r="K71" s="358"/>
      <c r="L71" s="358"/>
      <c r="M71" s="358"/>
      <c r="N71" s="358"/>
      <c r="O71" s="358"/>
      <c r="P71" s="358"/>
      <c r="Q71" s="358"/>
      <c r="R71" s="358"/>
      <c r="S71" s="358"/>
      <c r="T71" s="358"/>
      <c r="U71" s="358"/>
      <c r="V71" s="358"/>
      <c r="W71" s="358"/>
    </row>
    <row r="72" spans="1:23" ht="11.25" customHeight="1">
      <c r="A72" s="358" t="s">
        <v>68</v>
      </c>
      <c r="B72" s="358"/>
      <c r="C72" s="358"/>
      <c r="D72" s="358"/>
      <c r="E72" s="358"/>
      <c r="F72" s="358"/>
      <c r="G72" s="358"/>
      <c r="H72" s="358"/>
      <c r="I72" s="358"/>
      <c r="J72" s="358"/>
      <c r="K72" s="358"/>
      <c r="L72" s="358"/>
      <c r="M72" s="358"/>
      <c r="N72" s="358"/>
      <c r="O72" s="358"/>
      <c r="P72" s="358"/>
      <c r="Q72" s="358"/>
      <c r="R72" s="358"/>
      <c r="S72" s="358"/>
      <c r="T72" s="358"/>
      <c r="U72" s="358"/>
      <c r="V72" s="358"/>
      <c r="W72" s="358"/>
    </row>
    <row r="73" spans="1:23" ht="11.25" customHeight="1">
      <c r="A73" s="358" t="s">
        <v>69</v>
      </c>
      <c r="B73" s="358"/>
      <c r="C73" s="358"/>
      <c r="D73" s="358"/>
      <c r="E73" s="358"/>
      <c r="F73" s="358"/>
      <c r="G73" s="358"/>
      <c r="H73" s="358"/>
      <c r="I73" s="358"/>
      <c r="J73" s="358"/>
      <c r="K73" s="358"/>
      <c r="L73" s="358"/>
      <c r="M73" s="358"/>
      <c r="N73" s="358"/>
      <c r="O73" s="358"/>
      <c r="P73" s="358"/>
      <c r="Q73" s="358"/>
      <c r="R73" s="358"/>
      <c r="S73" s="358"/>
      <c r="T73" s="358"/>
      <c r="U73" s="358"/>
      <c r="V73" s="358"/>
      <c r="W73" s="358"/>
    </row>
    <row r="74" spans="1:23" ht="11.25" customHeight="1">
      <c r="A74" s="358" t="s">
        <v>70</v>
      </c>
      <c r="B74" s="358"/>
      <c r="C74" s="358"/>
      <c r="D74" s="358"/>
      <c r="E74" s="358"/>
      <c r="F74" s="358"/>
      <c r="G74" s="358"/>
      <c r="H74" s="358"/>
      <c r="I74" s="358"/>
      <c r="J74" s="358"/>
      <c r="K74" s="358"/>
      <c r="L74" s="358"/>
      <c r="M74" s="358"/>
      <c r="N74" s="358"/>
      <c r="O74" s="358"/>
      <c r="P74" s="358"/>
      <c r="Q74" s="358"/>
      <c r="R74" s="358"/>
      <c r="S74" s="358"/>
      <c r="T74" s="358"/>
      <c r="U74" s="358"/>
      <c r="V74" s="358"/>
      <c r="W74" s="358"/>
    </row>
    <row r="75" spans="1:23" ht="11.25" customHeight="1">
      <c r="A75" s="358" t="s">
        <v>71</v>
      </c>
      <c r="B75" s="358"/>
      <c r="C75" s="358"/>
      <c r="D75" s="358"/>
      <c r="E75" s="358"/>
      <c r="F75" s="358"/>
      <c r="G75" s="358"/>
      <c r="H75" s="358"/>
      <c r="I75" s="358"/>
      <c r="J75" s="358"/>
      <c r="K75" s="358"/>
      <c r="L75" s="358"/>
      <c r="M75" s="358"/>
      <c r="N75" s="358"/>
      <c r="O75" s="358"/>
      <c r="P75" s="358"/>
      <c r="Q75" s="358"/>
      <c r="R75" s="358"/>
      <c r="S75" s="358"/>
      <c r="T75" s="358"/>
      <c r="U75" s="358"/>
      <c r="V75" s="358"/>
      <c r="W75" s="358"/>
    </row>
    <row r="76" spans="1:23" ht="11.25" customHeight="1">
      <c r="A76" s="358" t="s">
        <v>72</v>
      </c>
      <c r="B76" s="358"/>
      <c r="C76" s="358"/>
      <c r="D76" s="358"/>
      <c r="E76" s="358"/>
      <c r="F76" s="358"/>
      <c r="G76" s="358"/>
      <c r="H76" s="358"/>
      <c r="I76" s="358"/>
      <c r="J76" s="358"/>
      <c r="K76" s="358"/>
      <c r="L76" s="358"/>
      <c r="M76" s="358"/>
      <c r="N76" s="358"/>
      <c r="O76" s="358"/>
      <c r="P76" s="358"/>
      <c r="Q76" s="358"/>
      <c r="R76" s="358"/>
      <c r="S76" s="358"/>
      <c r="T76" s="358"/>
      <c r="U76" s="358"/>
      <c r="V76" s="358"/>
      <c r="W76" s="358"/>
    </row>
    <row r="77" spans="1:23" ht="11.25" customHeight="1">
      <c r="R77" s="164"/>
    </row>
    <row r="78" spans="1:23" ht="11.25" customHeight="1"/>
    <row r="79" spans="1:23" ht="11.25" customHeight="1"/>
    <row r="80" spans="1:23" ht="11.25" customHeight="1"/>
  </sheetData>
  <mergeCells count="25">
    <mergeCell ref="A67:W67"/>
    <mergeCell ref="A59:W59"/>
    <mergeCell ref="A60:W60"/>
    <mergeCell ref="A61:W61"/>
    <mergeCell ref="A1:W1"/>
    <mergeCell ref="A2:W2"/>
    <mergeCell ref="A3:W3"/>
    <mergeCell ref="A4:W4"/>
    <mergeCell ref="A5:W5"/>
    <mergeCell ref="C6:K6"/>
    <mergeCell ref="N6:W6"/>
    <mergeCell ref="A62:W62"/>
    <mergeCell ref="A63:W63"/>
    <mergeCell ref="A64:W64"/>
    <mergeCell ref="A65:W65"/>
    <mergeCell ref="A66:W66"/>
    <mergeCell ref="A74:W74"/>
    <mergeCell ref="A75:W75"/>
    <mergeCell ref="A76:W76"/>
    <mergeCell ref="A68:W68"/>
    <mergeCell ref="A69:W69"/>
    <mergeCell ref="A70:W70"/>
    <mergeCell ref="A71:W71"/>
    <mergeCell ref="A72:W72"/>
    <mergeCell ref="A73:W73"/>
  </mergeCells>
  <pageMargins left="0.5" right="0.5" top="0.5" bottom="0.5" header="0.5" footer="0.5"/>
  <pageSetup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25C8-7269-0640-B6FE-A732BA00EA2F}">
  <dimension ref="A1:W76"/>
  <sheetViews>
    <sheetView zoomScale="107" workbookViewId="0">
      <selection activeCell="A48" sqref="A48:M48"/>
    </sheetView>
  </sheetViews>
  <sheetFormatPr baseColWidth="10" defaultRowHeight="15"/>
  <cols>
    <col min="1" max="16384" width="10.83203125" style="1"/>
  </cols>
  <sheetData>
    <row r="1" spans="1:23">
      <c r="A1" s="38"/>
      <c r="B1" s="38"/>
      <c r="C1" s="368" t="s">
        <v>147</v>
      </c>
      <c r="D1" s="369"/>
      <c r="E1" s="369"/>
      <c r="F1" s="369"/>
      <c r="G1" s="369"/>
      <c r="H1" s="369"/>
      <c r="I1" s="369"/>
      <c r="J1" s="369"/>
      <c r="K1" s="369"/>
      <c r="L1" s="369"/>
      <c r="M1" s="38"/>
      <c r="N1" s="368" t="s">
        <v>148</v>
      </c>
      <c r="O1" s="369"/>
      <c r="P1" s="369"/>
      <c r="Q1" s="369"/>
      <c r="R1" s="369"/>
      <c r="S1" s="369"/>
      <c r="T1" s="369"/>
      <c r="U1" s="369"/>
      <c r="V1" s="369"/>
      <c r="W1" s="369"/>
    </row>
    <row r="2" spans="1:23">
      <c r="A2" s="39" t="s">
        <v>149</v>
      </c>
      <c r="B2" s="40"/>
      <c r="C2" s="41" t="s">
        <v>74</v>
      </c>
      <c r="D2" s="42"/>
      <c r="E2" s="41" t="s">
        <v>75</v>
      </c>
      <c r="F2" s="42"/>
      <c r="G2" s="41" t="s">
        <v>76</v>
      </c>
      <c r="H2" s="42"/>
      <c r="I2" s="43" t="s">
        <v>77</v>
      </c>
      <c r="J2" s="42"/>
      <c r="K2" s="43" t="s">
        <v>150</v>
      </c>
      <c r="L2" s="42"/>
      <c r="M2" s="44"/>
      <c r="N2" s="41" t="s">
        <v>74</v>
      </c>
      <c r="O2" s="42"/>
      <c r="P2" s="41" t="s">
        <v>75</v>
      </c>
      <c r="Q2" s="42"/>
      <c r="R2" s="41" t="s">
        <v>76</v>
      </c>
      <c r="S2" s="42"/>
      <c r="T2" s="43" t="s">
        <v>77</v>
      </c>
      <c r="U2" s="42"/>
      <c r="V2" s="43" t="s">
        <v>150</v>
      </c>
      <c r="W2" s="42"/>
    </row>
    <row r="3" spans="1:23">
      <c r="A3" s="45" t="s">
        <v>7</v>
      </c>
      <c r="B3" s="46"/>
      <c r="C3" s="47">
        <v>1378</v>
      </c>
      <c r="D3" s="48"/>
      <c r="E3" s="47">
        <v>1554</v>
      </c>
      <c r="F3" s="48"/>
      <c r="G3" s="47">
        <v>1579</v>
      </c>
      <c r="H3" s="49" t="s">
        <v>8</v>
      </c>
      <c r="I3" s="47">
        <v>2339.6370000000002</v>
      </c>
      <c r="J3" s="49" t="s">
        <v>8</v>
      </c>
      <c r="K3" s="47">
        <v>1982.1010000000001</v>
      </c>
      <c r="L3" s="49" t="s">
        <v>78</v>
      </c>
      <c r="M3" s="48"/>
      <c r="N3" s="47">
        <v>700</v>
      </c>
      <c r="O3" s="50"/>
      <c r="P3" s="47">
        <v>780</v>
      </c>
      <c r="Q3" s="50" t="s">
        <v>9</v>
      </c>
      <c r="R3" s="47">
        <v>800</v>
      </c>
      <c r="S3" s="51" t="s">
        <v>79</v>
      </c>
      <c r="T3" s="47">
        <v>1180</v>
      </c>
      <c r="U3" s="51" t="s">
        <v>8</v>
      </c>
      <c r="V3" s="47">
        <v>1000</v>
      </c>
      <c r="W3" s="51"/>
    </row>
    <row r="4" spans="1:23">
      <c r="A4" s="52" t="s">
        <v>10</v>
      </c>
      <c r="B4" s="46"/>
      <c r="C4" s="47">
        <v>212981</v>
      </c>
      <c r="D4" s="53"/>
      <c r="E4" s="47">
        <v>233994</v>
      </c>
      <c r="F4" s="53"/>
      <c r="G4" s="47">
        <v>261855</v>
      </c>
      <c r="H4" s="54"/>
      <c r="I4" s="47">
        <v>275098</v>
      </c>
      <c r="J4" s="54" t="s">
        <v>8</v>
      </c>
      <c r="K4" s="47">
        <v>299009</v>
      </c>
      <c r="L4" s="49" t="s">
        <v>78</v>
      </c>
      <c r="M4" s="48"/>
      <c r="N4" s="47">
        <v>132257</v>
      </c>
      <c r="O4" s="54"/>
      <c r="P4" s="47">
        <v>145282</v>
      </c>
      <c r="Q4" s="54"/>
      <c r="R4" s="47">
        <v>165621</v>
      </c>
      <c r="S4" s="54"/>
      <c r="T4" s="47">
        <v>170934</v>
      </c>
      <c r="U4" s="54"/>
      <c r="V4" s="47">
        <v>186000</v>
      </c>
      <c r="W4" s="49"/>
    </row>
    <row r="5" spans="1:23">
      <c r="A5" s="52" t="s">
        <v>151</v>
      </c>
      <c r="B5" s="46"/>
      <c r="C5" s="47">
        <v>2119</v>
      </c>
      <c r="D5" s="49" t="s">
        <v>78</v>
      </c>
      <c r="E5" s="47">
        <v>1882</v>
      </c>
      <c r="F5" s="49" t="s">
        <v>78</v>
      </c>
      <c r="G5" s="47">
        <v>2000</v>
      </c>
      <c r="H5" s="54"/>
      <c r="I5" s="47">
        <v>2000</v>
      </c>
      <c r="J5" s="54"/>
      <c r="K5" s="47">
        <v>2000</v>
      </c>
      <c r="L5" s="54"/>
      <c r="M5" s="48"/>
      <c r="N5" s="47">
        <v>702.5</v>
      </c>
      <c r="O5" s="49" t="s">
        <v>78</v>
      </c>
      <c r="P5" s="47">
        <v>602</v>
      </c>
      <c r="Q5" s="50"/>
      <c r="R5" s="47">
        <v>640</v>
      </c>
      <c r="S5" s="50"/>
      <c r="T5" s="47">
        <v>600</v>
      </c>
      <c r="U5" s="50"/>
      <c r="V5" s="47">
        <v>600</v>
      </c>
      <c r="W5" s="50"/>
    </row>
    <row r="6" spans="1:23">
      <c r="A6" s="52" t="s">
        <v>80</v>
      </c>
      <c r="B6" s="46"/>
      <c r="C6" s="47">
        <v>3.1</v>
      </c>
      <c r="D6" s="54"/>
      <c r="E6" s="47">
        <v>19.100000000000001</v>
      </c>
      <c r="F6" s="49"/>
      <c r="G6" s="47">
        <v>7.3</v>
      </c>
      <c r="H6" s="49"/>
      <c r="I6" s="47">
        <v>11.3</v>
      </c>
      <c r="J6" s="49"/>
      <c r="K6" s="47">
        <v>17.2</v>
      </c>
      <c r="L6" s="49" t="s">
        <v>78</v>
      </c>
      <c r="M6" s="48"/>
      <c r="N6" s="47">
        <v>1.8</v>
      </c>
      <c r="O6" s="51" t="s">
        <v>9</v>
      </c>
      <c r="P6" s="47">
        <v>9.5500000000000007</v>
      </c>
      <c r="Q6" s="51" t="s">
        <v>9</v>
      </c>
      <c r="R6" s="47">
        <v>3.65</v>
      </c>
      <c r="S6" s="51" t="s">
        <v>9</v>
      </c>
      <c r="T6" s="47">
        <v>5.65</v>
      </c>
      <c r="U6" s="51" t="s">
        <v>9</v>
      </c>
      <c r="V6" s="47">
        <v>8.6</v>
      </c>
      <c r="W6" s="50"/>
    </row>
    <row r="7" spans="1:23">
      <c r="A7" s="55" t="s">
        <v>81</v>
      </c>
      <c r="B7" s="46"/>
      <c r="C7" s="47">
        <v>126.929</v>
      </c>
      <c r="D7" s="49"/>
      <c r="E7" s="47">
        <v>280.596</v>
      </c>
      <c r="F7" s="49" t="s">
        <v>8</v>
      </c>
      <c r="G7" s="47">
        <v>3176.748</v>
      </c>
      <c r="H7" s="49" t="s">
        <v>8</v>
      </c>
      <c r="I7" s="47">
        <v>3439.587</v>
      </c>
      <c r="J7" s="49" t="s">
        <v>8</v>
      </c>
      <c r="K7" s="47">
        <v>3500</v>
      </c>
      <c r="L7" s="54"/>
      <c r="M7" s="56"/>
      <c r="N7" s="47">
        <v>63</v>
      </c>
      <c r="O7" s="49"/>
      <c r="P7" s="47">
        <v>125</v>
      </c>
      <c r="Q7" s="51" t="s">
        <v>9</v>
      </c>
      <c r="R7" s="47">
        <v>1500</v>
      </c>
      <c r="S7" s="51" t="s">
        <v>8</v>
      </c>
      <c r="T7" s="47">
        <v>1700</v>
      </c>
      <c r="U7" s="51" t="s">
        <v>8</v>
      </c>
      <c r="V7" s="47">
        <v>1700</v>
      </c>
      <c r="W7" s="50"/>
    </row>
    <row r="8" spans="1:23">
      <c r="A8" s="52" t="s">
        <v>15</v>
      </c>
      <c r="B8" s="46"/>
      <c r="C8" s="47">
        <v>230707</v>
      </c>
      <c r="D8" s="53"/>
      <c r="E8" s="47">
        <v>261696.128</v>
      </c>
      <c r="F8" s="49" t="s">
        <v>8</v>
      </c>
      <c r="G8" s="47">
        <v>281462.08799999999</v>
      </c>
      <c r="H8" s="49" t="s">
        <v>8</v>
      </c>
      <c r="I8" s="47">
        <v>317800.22899999999</v>
      </c>
      <c r="J8" s="54" t="s">
        <v>8</v>
      </c>
      <c r="K8" s="47">
        <v>354674.37800000003</v>
      </c>
      <c r="L8" s="54" t="s">
        <v>82</v>
      </c>
      <c r="M8" s="56"/>
      <c r="N8" s="47">
        <v>153190</v>
      </c>
      <c r="O8" s="50"/>
      <c r="P8" s="47">
        <v>173752</v>
      </c>
      <c r="Q8" s="50"/>
      <c r="R8" s="47">
        <v>186870</v>
      </c>
      <c r="S8" s="50"/>
      <c r="T8" s="47">
        <v>207523.55</v>
      </c>
      <c r="U8" s="51" t="s">
        <v>8</v>
      </c>
      <c r="V8" s="47">
        <v>233700</v>
      </c>
      <c r="W8" s="50" t="s">
        <v>82</v>
      </c>
    </row>
    <row r="9" spans="1:23">
      <c r="A9" s="52" t="s">
        <v>16</v>
      </c>
      <c r="B9" s="46"/>
      <c r="C9" s="47">
        <v>466</v>
      </c>
      <c r="D9" s="48"/>
      <c r="E9" s="47">
        <v>83</v>
      </c>
      <c r="F9" s="54"/>
      <c r="G9" s="47" t="s">
        <v>12</v>
      </c>
      <c r="H9" s="54"/>
      <c r="I9" s="47" t="s">
        <v>12</v>
      </c>
      <c r="J9" s="54"/>
      <c r="K9" s="47" t="s">
        <v>12</v>
      </c>
      <c r="L9" s="54"/>
      <c r="M9" s="56"/>
      <c r="N9" s="47">
        <v>127</v>
      </c>
      <c r="O9" s="50"/>
      <c r="P9" s="47">
        <v>27</v>
      </c>
      <c r="Q9" s="50"/>
      <c r="R9" s="47" t="s">
        <v>12</v>
      </c>
      <c r="S9" s="54"/>
      <c r="T9" s="47" t="s">
        <v>12</v>
      </c>
      <c r="U9" s="54"/>
      <c r="V9" s="47" t="s">
        <v>12</v>
      </c>
      <c r="W9" s="54"/>
    </row>
    <row r="10" spans="1:23">
      <c r="A10" s="57" t="s">
        <v>152</v>
      </c>
      <c r="B10" s="46"/>
      <c r="C10" s="47">
        <v>33322</v>
      </c>
      <c r="D10" s="48"/>
      <c r="E10" s="47">
        <v>28596.429</v>
      </c>
      <c r="F10" s="54"/>
      <c r="G10" s="47">
        <v>30387</v>
      </c>
      <c r="H10" s="54"/>
      <c r="I10" s="47">
        <v>33542.978000000003</v>
      </c>
      <c r="J10" s="49" t="s">
        <v>8</v>
      </c>
      <c r="K10" s="47">
        <v>32833.648999999998</v>
      </c>
      <c r="L10" s="49" t="s">
        <v>78</v>
      </c>
      <c r="M10" s="56"/>
      <c r="N10" s="47">
        <v>20993</v>
      </c>
      <c r="O10" s="50"/>
      <c r="P10" s="47">
        <v>17801</v>
      </c>
      <c r="Q10" s="54"/>
      <c r="R10" s="47">
        <v>19333</v>
      </c>
      <c r="S10" s="49" t="s">
        <v>8</v>
      </c>
      <c r="T10" s="47">
        <v>21341</v>
      </c>
      <c r="U10" s="49" t="s">
        <v>8</v>
      </c>
      <c r="V10" s="47">
        <v>20751</v>
      </c>
      <c r="W10" s="50" t="s">
        <v>82</v>
      </c>
    </row>
    <row r="11" spans="1:23">
      <c r="A11" s="52" t="s">
        <v>18</v>
      </c>
      <c r="B11" s="46"/>
      <c r="C11" s="47">
        <v>8011.0230000000001</v>
      </c>
      <c r="D11" s="48"/>
      <c r="E11" s="47">
        <v>8003.491</v>
      </c>
      <c r="F11" s="54"/>
      <c r="G11" s="47">
        <v>7862.0609999999997</v>
      </c>
      <c r="H11" s="54"/>
      <c r="I11" s="47">
        <v>8628.2000000000007</v>
      </c>
      <c r="J11" s="49" t="s">
        <v>8</v>
      </c>
      <c r="K11" s="47">
        <v>8817.7000000000007</v>
      </c>
      <c r="L11" s="49" t="s">
        <v>78</v>
      </c>
      <c r="M11" s="56"/>
      <c r="N11" s="47">
        <v>4864.7179999999998</v>
      </c>
      <c r="O11" s="50"/>
      <c r="P11" s="47">
        <v>4849.8779999999997</v>
      </c>
      <c r="Q11" s="50"/>
      <c r="R11" s="47">
        <v>4706.9560000000001</v>
      </c>
      <c r="S11" s="50"/>
      <c r="T11" s="47">
        <v>5235</v>
      </c>
      <c r="U11" s="50"/>
      <c r="V11" s="47">
        <v>5350</v>
      </c>
      <c r="W11" s="50"/>
    </row>
    <row r="12" spans="1:23">
      <c r="A12" s="52" t="s">
        <v>153</v>
      </c>
      <c r="B12" s="46"/>
      <c r="C12" s="47">
        <v>261000</v>
      </c>
      <c r="D12" s="48"/>
      <c r="E12" s="47">
        <v>320000</v>
      </c>
      <c r="F12" s="54"/>
      <c r="G12" s="47">
        <v>420000</v>
      </c>
      <c r="H12" s="54"/>
      <c r="I12" s="47">
        <v>601000</v>
      </c>
      <c r="J12" s="49" t="s">
        <v>8</v>
      </c>
      <c r="K12" s="47">
        <v>707000</v>
      </c>
      <c r="L12" s="54"/>
      <c r="M12" s="56"/>
      <c r="N12" s="47">
        <v>86000</v>
      </c>
      <c r="O12" s="50"/>
      <c r="P12" s="47">
        <v>105000</v>
      </c>
      <c r="Q12" s="50"/>
      <c r="R12" s="47">
        <v>138000</v>
      </c>
      <c r="S12" s="50"/>
      <c r="T12" s="47">
        <v>198000</v>
      </c>
      <c r="U12" s="51" t="s">
        <v>8</v>
      </c>
      <c r="V12" s="47">
        <v>233000</v>
      </c>
      <c r="W12" s="50"/>
    </row>
    <row r="13" spans="1:23">
      <c r="A13" s="57" t="s">
        <v>20</v>
      </c>
      <c r="B13" s="46"/>
      <c r="C13" s="47">
        <v>625.00199999999995</v>
      </c>
      <c r="D13" s="48"/>
      <c r="E13" s="47">
        <v>587.22199999999998</v>
      </c>
      <c r="F13" s="49" t="s">
        <v>8</v>
      </c>
      <c r="G13" s="47">
        <v>607.55899999999997</v>
      </c>
      <c r="H13" s="54"/>
      <c r="I13" s="47">
        <v>644.15099999999995</v>
      </c>
      <c r="J13" s="54"/>
      <c r="K13" s="47">
        <v>623.92999999999995</v>
      </c>
      <c r="L13" s="49" t="s">
        <v>78</v>
      </c>
      <c r="M13" s="56"/>
      <c r="N13" s="47">
        <v>344</v>
      </c>
      <c r="O13" s="50" t="s">
        <v>9</v>
      </c>
      <c r="P13" s="47">
        <v>323</v>
      </c>
      <c r="Q13" s="51" t="s">
        <v>8</v>
      </c>
      <c r="R13" s="47">
        <v>334</v>
      </c>
      <c r="S13" s="50" t="s">
        <v>9</v>
      </c>
      <c r="T13" s="47">
        <v>354</v>
      </c>
      <c r="U13" s="51" t="s">
        <v>8</v>
      </c>
      <c r="V13" s="47">
        <v>343</v>
      </c>
      <c r="W13" s="50"/>
    </row>
    <row r="14" spans="1:23">
      <c r="A14" s="57" t="s">
        <v>154</v>
      </c>
      <c r="B14" s="46"/>
      <c r="C14" s="47">
        <v>2237</v>
      </c>
      <c r="D14" s="49" t="s">
        <v>78</v>
      </c>
      <c r="E14" s="47">
        <v>2400</v>
      </c>
      <c r="F14" s="54"/>
      <c r="G14" s="47">
        <v>2600</v>
      </c>
      <c r="H14" s="54"/>
      <c r="I14" s="47">
        <v>2500</v>
      </c>
      <c r="J14" s="54"/>
      <c r="K14" s="47">
        <v>2500</v>
      </c>
      <c r="L14" s="54"/>
      <c r="M14" s="56"/>
      <c r="N14" s="47">
        <v>1119</v>
      </c>
      <c r="O14" s="49" t="s">
        <v>78</v>
      </c>
      <c r="P14" s="47">
        <v>1200</v>
      </c>
      <c r="Q14" s="50"/>
      <c r="R14" s="47">
        <v>1300</v>
      </c>
      <c r="S14" s="50"/>
      <c r="T14" s="47">
        <v>1200</v>
      </c>
      <c r="U14" s="50"/>
      <c r="V14" s="47">
        <v>1200</v>
      </c>
      <c r="W14" s="50"/>
    </row>
    <row r="15" spans="1:23">
      <c r="A15" s="57" t="s">
        <v>155</v>
      </c>
      <c r="B15" s="46"/>
      <c r="C15" s="47">
        <v>429.17</v>
      </c>
      <c r="D15" s="48"/>
      <c r="E15" s="47">
        <v>412.238</v>
      </c>
      <c r="F15" s="54"/>
      <c r="G15" s="47">
        <v>362.10599999999999</v>
      </c>
      <c r="H15" s="49"/>
      <c r="I15" s="47">
        <v>411.97300000000001</v>
      </c>
      <c r="J15" s="49" t="s">
        <v>8</v>
      </c>
      <c r="K15" s="47">
        <v>412</v>
      </c>
      <c r="L15" s="54"/>
      <c r="M15" s="56"/>
      <c r="N15" s="47">
        <v>60.1</v>
      </c>
      <c r="O15" s="54"/>
      <c r="P15" s="47">
        <v>57.7</v>
      </c>
      <c r="Q15" s="50"/>
      <c r="R15" s="47">
        <v>37.799999999999997</v>
      </c>
      <c r="S15" s="51" t="s">
        <v>8</v>
      </c>
      <c r="T15" s="47">
        <v>43.7</v>
      </c>
      <c r="U15" s="51" t="s">
        <v>8</v>
      </c>
      <c r="V15" s="47">
        <v>44</v>
      </c>
      <c r="W15" s="50"/>
    </row>
    <row r="16" spans="1:23">
      <c r="A16" s="57" t="s">
        <v>156</v>
      </c>
      <c r="B16" s="46"/>
      <c r="C16" s="47">
        <v>1500</v>
      </c>
      <c r="D16" s="48"/>
      <c r="E16" s="47">
        <v>1500</v>
      </c>
      <c r="F16" s="54"/>
      <c r="G16" s="47">
        <v>1500</v>
      </c>
      <c r="H16" s="54"/>
      <c r="I16" s="47">
        <v>1500</v>
      </c>
      <c r="J16" s="54"/>
      <c r="K16" s="47">
        <v>1500</v>
      </c>
      <c r="L16" s="54"/>
      <c r="M16" s="56"/>
      <c r="N16" s="47">
        <v>575</v>
      </c>
      <c r="O16" s="50"/>
      <c r="P16" s="47">
        <v>575</v>
      </c>
      <c r="Q16" s="50"/>
      <c r="R16" s="47">
        <v>575</v>
      </c>
      <c r="S16" s="50"/>
      <c r="T16" s="47">
        <v>575</v>
      </c>
      <c r="U16" s="50"/>
      <c r="V16" s="47">
        <v>575</v>
      </c>
      <c r="W16" s="50"/>
    </row>
    <row r="17" spans="1:23">
      <c r="A17" s="57" t="s">
        <v>23</v>
      </c>
      <c r="B17" s="46"/>
      <c r="C17" s="47">
        <v>2.2759999999999998</v>
      </c>
      <c r="D17" s="49"/>
      <c r="E17" s="47">
        <v>2.823</v>
      </c>
      <c r="F17" s="49"/>
      <c r="G17" s="47">
        <v>11.268000000000001</v>
      </c>
      <c r="H17" s="49"/>
      <c r="I17" s="47">
        <v>7.3410000000000002</v>
      </c>
      <c r="J17" s="49"/>
      <c r="K17" s="47">
        <v>7</v>
      </c>
      <c r="L17" s="54"/>
      <c r="M17" s="56"/>
      <c r="N17" s="47">
        <v>1.59</v>
      </c>
      <c r="O17" s="49"/>
      <c r="P17" s="47">
        <v>1.97</v>
      </c>
      <c r="Q17" s="49"/>
      <c r="R17" s="47">
        <v>7.88</v>
      </c>
      <c r="S17" s="49" t="s">
        <v>8</v>
      </c>
      <c r="T17" s="47">
        <v>5.14</v>
      </c>
      <c r="U17" s="51"/>
      <c r="V17" s="47">
        <v>5</v>
      </c>
      <c r="W17" s="50"/>
    </row>
    <row r="18" spans="1:23">
      <c r="A18" s="57" t="s">
        <v>24</v>
      </c>
      <c r="B18" s="46"/>
      <c r="C18" s="47">
        <v>99100</v>
      </c>
      <c r="D18" s="54"/>
      <c r="E18" s="47">
        <v>120600</v>
      </c>
      <c r="F18" s="54"/>
      <c r="G18" s="47">
        <v>140000</v>
      </c>
      <c r="H18" s="49" t="s">
        <v>9</v>
      </c>
      <c r="I18" s="47">
        <v>160000</v>
      </c>
      <c r="J18" s="49" t="s">
        <v>9</v>
      </c>
      <c r="K18" s="47">
        <v>180000</v>
      </c>
      <c r="L18" s="54"/>
      <c r="M18" s="56"/>
      <c r="N18" s="47">
        <v>63400</v>
      </c>
      <c r="O18" s="50"/>
      <c r="P18" s="47">
        <v>77200</v>
      </c>
      <c r="Q18" s="50" t="s">
        <v>9</v>
      </c>
      <c r="R18" s="47">
        <v>90000</v>
      </c>
      <c r="S18" s="50" t="s">
        <v>9</v>
      </c>
      <c r="T18" s="47">
        <v>102000</v>
      </c>
      <c r="U18" s="50" t="s">
        <v>9</v>
      </c>
      <c r="V18" s="47">
        <v>115000</v>
      </c>
      <c r="W18" s="50"/>
    </row>
    <row r="19" spans="1:23">
      <c r="A19" s="57" t="s">
        <v>25</v>
      </c>
      <c r="B19" s="46"/>
      <c r="C19" s="47">
        <v>245.40899999999999</v>
      </c>
      <c r="D19" s="49"/>
      <c r="E19" s="47">
        <v>89.664000000000001</v>
      </c>
      <c r="F19" s="49"/>
      <c r="G19" s="47">
        <v>32.203000000000003</v>
      </c>
      <c r="H19" s="49" t="s">
        <v>8</v>
      </c>
      <c r="I19" s="47">
        <v>10.962999999999999</v>
      </c>
      <c r="J19" s="49" t="s">
        <v>8</v>
      </c>
      <c r="K19" s="47">
        <v>8</v>
      </c>
      <c r="L19" s="54"/>
      <c r="M19" s="56"/>
      <c r="N19" s="47">
        <v>140</v>
      </c>
      <c r="O19" s="50" t="s">
        <v>9</v>
      </c>
      <c r="P19" s="47">
        <v>51</v>
      </c>
      <c r="Q19" s="51" t="s">
        <v>9</v>
      </c>
      <c r="R19" s="47">
        <v>18.399999999999999</v>
      </c>
      <c r="S19" s="51" t="s">
        <v>8</v>
      </c>
      <c r="T19" s="47">
        <v>6.2</v>
      </c>
      <c r="U19" s="51" t="s">
        <v>8</v>
      </c>
      <c r="V19" s="47">
        <v>4.5999999999999996</v>
      </c>
      <c r="W19" s="50"/>
    </row>
    <row r="20" spans="1:23">
      <c r="A20" s="57" t="s">
        <v>157</v>
      </c>
      <c r="B20" s="46"/>
      <c r="C20" s="47">
        <v>18287</v>
      </c>
      <c r="D20" s="54"/>
      <c r="E20" s="47">
        <v>18205</v>
      </c>
      <c r="F20" s="54"/>
      <c r="G20" s="47">
        <v>19000</v>
      </c>
      <c r="H20" s="54" t="s">
        <v>9</v>
      </c>
      <c r="I20" s="47">
        <v>26243.837</v>
      </c>
      <c r="J20" s="54" t="s">
        <v>8</v>
      </c>
      <c r="K20" s="47">
        <v>31537.544999999998</v>
      </c>
      <c r="L20" s="54">
        <v>6</v>
      </c>
      <c r="M20" s="56"/>
      <c r="N20" s="47">
        <v>9000</v>
      </c>
      <c r="O20" s="50"/>
      <c r="P20" s="47">
        <v>8900</v>
      </c>
      <c r="Q20" s="50"/>
      <c r="R20" s="47">
        <v>9000</v>
      </c>
      <c r="S20" s="50" t="s">
        <v>9</v>
      </c>
      <c r="T20" s="47">
        <v>13000</v>
      </c>
      <c r="U20" s="50" t="s">
        <v>9</v>
      </c>
      <c r="V20" s="47">
        <v>15000</v>
      </c>
      <c r="W20" s="50"/>
    </row>
    <row r="21" spans="1:23">
      <c r="A21" s="57" t="s">
        <v>28</v>
      </c>
      <c r="B21" s="46"/>
      <c r="C21" s="47">
        <v>19280.900000000001</v>
      </c>
      <c r="D21" s="54"/>
      <c r="E21" s="47">
        <v>20402.5</v>
      </c>
      <c r="F21" s="49" t="s">
        <v>8</v>
      </c>
      <c r="G21" s="47">
        <v>19471.099999999999</v>
      </c>
      <c r="H21" s="49" t="s">
        <v>8</v>
      </c>
      <c r="I21" s="47">
        <v>22262.6</v>
      </c>
      <c r="J21" s="49" t="s">
        <v>8</v>
      </c>
      <c r="K21" s="47">
        <v>23834.1</v>
      </c>
      <c r="L21" s="49" t="s">
        <v>78</v>
      </c>
      <c r="M21" s="56"/>
      <c r="N21" s="47">
        <v>10100</v>
      </c>
      <c r="O21" s="51" t="s">
        <v>8</v>
      </c>
      <c r="P21" s="47">
        <v>11600</v>
      </c>
      <c r="Q21" s="51" t="s">
        <v>8</v>
      </c>
      <c r="R21" s="47">
        <v>11100</v>
      </c>
      <c r="S21" s="51" t="s">
        <v>8</v>
      </c>
      <c r="T21" s="47">
        <v>12700</v>
      </c>
      <c r="U21" s="51" t="s">
        <v>8</v>
      </c>
      <c r="V21" s="47">
        <v>13600</v>
      </c>
      <c r="W21" s="50"/>
    </row>
    <row r="22" spans="1:23">
      <c r="A22" s="57" t="s">
        <v>29</v>
      </c>
      <c r="B22" s="46"/>
      <c r="C22" s="47">
        <v>0.7</v>
      </c>
      <c r="D22" s="54"/>
      <c r="E22" s="47">
        <v>0.5</v>
      </c>
      <c r="F22" s="54"/>
      <c r="G22" s="58" t="s">
        <v>83</v>
      </c>
      <c r="H22" s="54"/>
      <c r="I22" s="58" t="s">
        <v>83</v>
      </c>
      <c r="J22" s="54" t="s">
        <v>9</v>
      </c>
      <c r="K22" s="58" t="s">
        <v>83</v>
      </c>
      <c r="L22" s="54"/>
      <c r="M22" s="56"/>
      <c r="N22" s="58" t="s">
        <v>83</v>
      </c>
      <c r="O22" s="54"/>
      <c r="P22" s="58" t="s">
        <v>83</v>
      </c>
      <c r="Q22" s="50"/>
      <c r="R22" s="58" t="s">
        <v>83</v>
      </c>
      <c r="S22" s="54"/>
      <c r="T22" s="58" t="s">
        <v>83</v>
      </c>
      <c r="U22" s="50" t="s">
        <v>9</v>
      </c>
      <c r="V22" s="58" t="s">
        <v>83</v>
      </c>
      <c r="W22" s="50"/>
    </row>
    <row r="23" spans="1:23">
      <c r="A23" s="57" t="s">
        <v>158</v>
      </c>
      <c r="B23" s="46"/>
      <c r="C23" s="47">
        <v>4430</v>
      </c>
      <c r="D23" s="54"/>
      <c r="E23" s="47">
        <v>4580</v>
      </c>
      <c r="F23" s="54"/>
      <c r="G23" s="47">
        <v>5000</v>
      </c>
      <c r="H23" s="54"/>
      <c r="I23" s="47">
        <v>5040</v>
      </c>
      <c r="J23" s="49" t="s">
        <v>8</v>
      </c>
      <c r="K23" s="47">
        <v>5130</v>
      </c>
      <c r="L23" s="54"/>
      <c r="M23" s="56"/>
      <c r="N23" s="47">
        <v>1260</v>
      </c>
      <c r="O23" s="50"/>
      <c r="P23" s="47">
        <v>1300</v>
      </c>
      <c r="Q23" s="50"/>
      <c r="R23" s="47">
        <v>1400</v>
      </c>
      <c r="S23" s="50"/>
      <c r="T23" s="47">
        <v>1400</v>
      </c>
      <c r="U23" s="50"/>
      <c r="V23" s="47">
        <v>1400</v>
      </c>
      <c r="W23" s="50"/>
    </row>
    <row r="24" spans="1:23">
      <c r="A24" s="57" t="s">
        <v>31</v>
      </c>
      <c r="B24" s="46"/>
      <c r="C24" s="47">
        <v>174</v>
      </c>
      <c r="D24" s="54"/>
      <c r="E24" s="47">
        <v>226</v>
      </c>
      <c r="F24" s="54"/>
      <c r="G24" s="47">
        <v>213</v>
      </c>
      <c r="H24" s="54"/>
      <c r="I24" s="47">
        <v>227</v>
      </c>
      <c r="J24" s="54"/>
      <c r="K24" s="47">
        <v>291</v>
      </c>
      <c r="L24" s="49" t="s">
        <v>78</v>
      </c>
      <c r="M24" s="56"/>
      <c r="N24" s="47">
        <v>97</v>
      </c>
      <c r="O24" s="50"/>
      <c r="P24" s="47">
        <v>127</v>
      </c>
      <c r="Q24" s="50"/>
      <c r="R24" s="47">
        <v>119</v>
      </c>
      <c r="S24" s="50"/>
      <c r="T24" s="47">
        <v>155</v>
      </c>
      <c r="U24" s="51" t="s">
        <v>8</v>
      </c>
      <c r="V24" s="47">
        <v>175</v>
      </c>
      <c r="W24" s="50"/>
    </row>
    <row r="25" spans="1:23">
      <c r="A25" s="57" t="s">
        <v>159</v>
      </c>
      <c r="B25" s="46"/>
      <c r="C25" s="47">
        <v>10</v>
      </c>
      <c r="D25" s="54"/>
      <c r="E25" s="47">
        <v>10</v>
      </c>
      <c r="F25" s="54"/>
      <c r="G25" s="47">
        <v>10</v>
      </c>
      <c r="H25" s="54"/>
      <c r="I25" s="47">
        <v>10</v>
      </c>
      <c r="J25" s="54"/>
      <c r="K25" s="47">
        <v>10</v>
      </c>
      <c r="L25" s="54"/>
      <c r="M25" s="56"/>
      <c r="N25" s="47">
        <v>6</v>
      </c>
      <c r="O25" s="54"/>
      <c r="P25" s="47">
        <v>6</v>
      </c>
      <c r="Q25" s="54"/>
      <c r="R25" s="47">
        <v>6</v>
      </c>
      <c r="S25" s="54"/>
      <c r="T25" s="47">
        <v>6</v>
      </c>
      <c r="U25" s="54"/>
      <c r="V25" s="47">
        <v>6</v>
      </c>
      <c r="W25" s="54"/>
    </row>
    <row r="26" spans="1:23">
      <c r="A26" s="57" t="s">
        <v>32</v>
      </c>
      <c r="B26" s="46"/>
      <c r="C26" s="47">
        <v>596.61199999999997</v>
      </c>
      <c r="D26" s="54"/>
      <c r="E26" s="47">
        <v>663.73199999999997</v>
      </c>
      <c r="F26" s="54"/>
      <c r="G26" s="47">
        <v>949.60500000000002</v>
      </c>
      <c r="H26" s="54"/>
      <c r="I26" s="47">
        <v>667.08199999999999</v>
      </c>
      <c r="J26" s="49" t="s">
        <v>8</v>
      </c>
      <c r="K26" s="47">
        <v>700</v>
      </c>
      <c r="L26" s="54"/>
      <c r="M26" s="56"/>
      <c r="N26" s="47">
        <v>382</v>
      </c>
      <c r="O26" s="50"/>
      <c r="P26" s="47">
        <v>424</v>
      </c>
      <c r="Q26" s="50"/>
      <c r="R26" s="47">
        <v>606</v>
      </c>
      <c r="S26" s="50"/>
      <c r="T26" s="47">
        <v>426</v>
      </c>
      <c r="U26" s="51" t="s">
        <v>8</v>
      </c>
      <c r="V26" s="47">
        <v>440</v>
      </c>
      <c r="W26" s="50"/>
    </row>
    <row r="27" spans="1:23">
      <c r="A27" s="57" t="s">
        <v>33</v>
      </c>
      <c r="B27" s="46"/>
      <c r="C27" s="47">
        <v>10377</v>
      </c>
      <c r="D27" s="54"/>
      <c r="E27" s="47">
        <v>10674</v>
      </c>
      <c r="F27" s="54"/>
      <c r="G27" s="47">
        <v>10752</v>
      </c>
      <c r="H27" s="54"/>
      <c r="I27" s="47">
        <v>10658.285</v>
      </c>
      <c r="J27" s="54" t="s">
        <v>8</v>
      </c>
      <c r="K27" s="47">
        <v>11816.66</v>
      </c>
      <c r="L27" s="54">
        <v>6</v>
      </c>
      <c r="M27" s="56"/>
      <c r="N27" s="47">
        <v>6890</v>
      </c>
      <c r="O27" s="50"/>
      <c r="P27" s="47">
        <v>6900</v>
      </c>
      <c r="Q27" s="50"/>
      <c r="R27" s="47">
        <v>7000</v>
      </c>
      <c r="S27" s="50"/>
      <c r="T27" s="47">
        <v>6950</v>
      </c>
      <c r="U27" s="50" t="s">
        <v>79</v>
      </c>
      <c r="V27" s="47">
        <v>7700</v>
      </c>
      <c r="W27" s="50"/>
    </row>
    <row r="28" spans="1:23">
      <c r="A28" s="57" t="s">
        <v>160</v>
      </c>
      <c r="B28" s="46"/>
      <c r="C28" s="47">
        <v>11265</v>
      </c>
      <c r="D28" s="59"/>
      <c r="E28" s="47">
        <v>11483</v>
      </c>
      <c r="F28" s="59"/>
      <c r="G28" s="47">
        <v>11687</v>
      </c>
      <c r="H28" s="60" t="s">
        <v>8</v>
      </c>
      <c r="I28" s="47">
        <v>10983</v>
      </c>
      <c r="J28" s="60" t="s">
        <v>8</v>
      </c>
      <c r="K28" s="47">
        <v>12205</v>
      </c>
      <c r="L28" s="54">
        <v>6</v>
      </c>
      <c r="M28" s="56"/>
      <c r="N28" s="47">
        <v>6759</v>
      </c>
      <c r="O28" s="50"/>
      <c r="P28" s="47">
        <v>6890</v>
      </c>
      <c r="Q28" s="54"/>
      <c r="R28" s="47">
        <v>7012</v>
      </c>
      <c r="S28" s="54"/>
      <c r="T28" s="47">
        <v>6590</v>
      </c>
      <c r="U28" s="54"/>
      <c r="V28" s="47">
        <v>7323.1210000000001</v>
      </c>
      <c r="W28" s="54">
        <v>6</v>
      </c>
    </row>
    <row r="29" spans="1:23">
      <c r="A29" s="57" t="s">
        <v>161</v>
      </c>
      <c r="B29" s="46"/>
      <c r="C29" s="47">
        <v>6.3</v>
      </c>
      <c r="D29" s="49" t="s">
        <v>78</v>
      </c>
      <c r="E29" s="47">
        <v>9.9</v>
      </c>
      <c r="F29" s="49" t="s">
        <v>78</v>
      </c>
      <c r="G29" s="47">
        <v>9.9</v>
      </c>
      <c r="H29" s="54"/>
      <c r="I29" s="47">
        <v>9.9</v>
      </c>
      <c r="J29" s="54"/>
      <c r="K29" s="47">
        <v>9.9</v>
      </c>
      <c r="L29" s="54"/>
      <c r="M29" s="56"/>
      <c r="N29" s="47">
        <v>3.4</v>
      </c>
      <c r="O29" s="50"/>
      <c r="P29" s="47">
        <v>5.3</v>
      </c>
      <c r="Q29" s="50"/>
      <c r="R29" s="47">
        <v>5.3</v>
      </c>
      <c r="S29" s="50"/>
      <c r="T29" s="47">
        <v>5.3</v>
      </c>
      <c r="U29" s="50"/>
      <c r="V29" s="47">
        <v>5.3</v>
      </c>
      <c r="W29" s="50"/>
    </row>
    <row r="30" spans="1:23">
      <c r="A30" s="57" t="s">
        <v>162</v>
      </c>
      <c r="B30" s="46"/>
      <c r="C30" s="47">
        <v>1946.9</v>
      </c>
      <c r="D30" s="49"/>
      <c r="E30" s="47">
        <v>2329.4169999999999</v>
      </c>
      <c r="F30" s="49"/>
      <c r="G30" s="47">
        <v>2270</v>
      </c>
      <c r="H30" s="49"/>
      <c r="I30" s="47">
        <v>2146</v>
      </c>
      <c r="J30" s="49" t="s">
        <v>8</v>
      </c>
      <c r="K30" s="47">
        <v>2200</v>
      </c>
      <c r="L30" s="54"/>
      <c r="M30" s="56"/>
      <c r="N30" s="47">
        <v>580</v>
      </c>
      <c r="O30" s="51" t="s">
        <v>9</v>
      </c>
      <c r="P30" s="47">
        <v>690</v>
      </c>
      <c r="Q30" s="51" t="s">
        <v>9</v>
      </c>
      <c r="R30" s="47">
        <v>654</v>
      </c>
      <c r="S30" s="51" t="s">
        <v>9</v>
      </c>
      <c r="T30" s="47">
        <v>620</v>
      </c>
      <c r="U30" s="51" t="s">
        <v>79</v>
      </c>
      <c r="V30" s="47">
        <v>620</v>
      </c>
      <c r="W30" s="50"/>
    </row>
    <row r="31" spans="1:23">
      <c r="A31" s="57" t="s">
        <v>163</v>
      </c>
      <c r="B31" s="46"/>
      <c r="C31" s="47" t="s">
        <v>12</v>
      </c>
      <c r="D31" s="50"/>
      <c r="E31" s="47" t="s">
        <v>12</v>
      </c>
      <c r="F31" s="54"/>
      <c r="G31" s="47">
        <v>60</v>
      </c>
      <c r="H31" s="49" t="s">
        <v>8</v>
      </c>
      <c r="I31" s="47">
        <v>150</v>
      </c>
      <c r="J31" s="49" t="s">
        <v>8</v>
      </c>
      <c r="K31" s="47">
        <v>50</v>
      </c>
      <c r="L31" s="54"/>
      <c r="M31" s="56"/>
      <c r="N31" s="47" t="s">
        <v>12</v>
      </c>
      <c r="O31" s="50"/>
      <c r="P31" s="47" t="s">
        <v>12</v>
      </c>
      <c r="Q31" s="50"/>
      <c r="R31" s="47">
        <v>22</v>
      </c>
      <c r="S31" s="51" t="s">
        <v>8</v>
      </c>
      <c r="T31" s="47">
        <v>54</v>
      </c>
      <c r="U31" s="51" t="s">
        <v>8</v>
      </c>
      <c r="V31" s="47">
        <v>18</v>
      </c>
      <c r="W31" s="50"/>
    </row>
    <row r="32" spans="1:23">
      <c r="A32" s="57" t="s">
        <v>35</v>
      </c>
      <c r="B32" s="46"/>
      <c r="C32" s="47">
        <v>500</v>
      </c>
      <c r="D32" s="54"/>
      <c r="E32" s="47">
        <v>600</v>
      </c>
      <c r="F32" s="54"/>
      <c r="G32" s="47">
        <v>620</v>
      </c>
      <c r="H32" s="54"/>
      <c r="I32" s="47">
        <v>620</v>
      </c>
      <c r="J32" s="54"/>
      <c r="K32" s="47">
        <v>620</v>
      </c>
      <c r="L32" s="54"/>
      <c r="M32" s="56"/>
      <c r="N32" s="47">
        <v>340</v>
      </c>
      <c r="O32" s="50"/>
      <c r="P32" s="47">
        <v>408</v>
      </c>
      <c r="Q32" s="50"/>
      <c r="R32" s="47">
        <v>420</v>
      </c>
      <c r="S32" s="50"/>
      <c r="T32" s="47">
        <v>420</v>
      </c>
      <c r="U32" s="50"/>
      <c r="V32" s="47">
        <v>400</v>
      </c>
      <c r="W32" s="50"/>
    </row>
    <row r="33" spans="1:23">
      <c r="A33" s="57" t="s">
        <v>164</v>
      </c>
      <c r="B33" s="46"/>
      <c r="C33" s="47">
        <v>40</v>
      </c>
      <c r="D33" s="54"/>
      <c r="E33" s="47">
        <v>50</v>
      </c>
      <c r="F33" s="54"/>
      <c r="G33" s="47">
        <v>50</v>
      </c>
      <c r="H33" s="54"/>
      <c r="I33" s="47">
        <v>95</v>
      </c>
      <c r="J33" s="54" t="s">
        <v>8</v>
      </c>
      <c r="K33" s="47">
        <v>207</v>
      </c>
      <c r="L33" s="54"/>
      <c r="M33" s="56"/>
      <c r="N33" s="47">
        <v>20</v>
      </c>
      <c r="O33" s="50"/>
      <c r="P33" s="47">
        <v>25</v>
      </c>
      <c r="Q33" s="50"/>
      <c r="R33" s="47">
        <v>25</v>
      </c>
      <c r="S33" s="50"/>
      <c r="T33" s="47">
        <v>48</v>
      </c>
      <c r="U33" s="50" t="s">
        <v>8</v>
      </c>
      <c r="V33" s="47">
        <v>104</v>
      </c>
      <c r="W33" s="50"/>
    </row>
    <row r="34" spans="1:23">
      <c r="A34" s="57" t="s">
        <v>36</v>
      </c>
      <c r="B34" s="46"/>
      <c r="C34" s="47">
        <v>5239.8050000000003</v>
      </c>
      <c r="D34" s="54"/>
      <c r="E34" s="47">
        <v>6439.4009999999998</v>
      </c>
      <c r="F34" s="54"/>
      <c r="G34" s="47">
        <v>6810.4049999999997</v>
      </c>
      <c r="H34" s="54"/>
      <c r="I34" s="47">
        <v>7250</v>
      </c>
      <c r="J34" s="49"/>
      <c r="K34" s="47">
        <v>7740</v>
      </c>
      <c r="L34" s="49"/>
      <c r="M34" s="56"/>
      <c r="N34" s="47">
        <v>3541</v>
      </c>
      <c r="O34" s="54"/>
      <c r="P34" s="47">
        <v>4315</v>
      </c>
      <c r="Q34" s="54"/>
      <c r="R34" s="47">
        <v>4565</v>
      </c>
      <c r="S34" s="54"/>
      <c r="T34" s="47">
        <v>4861.3789999999999</v>
      </c>
      <c r="U34" s="54" t="s">
        <v>8</v>
      </c>
      <c r="V34" s="47">
        <v>5185.4939999999997</v>
      </c>
      <c r="W34" s="49" t="s">
        <v>78</v>
      </c>
    </row>
    <row r="35" spans="1:23">
      <c r="A35" s="57" t="s">
        <v>165</v>
      </c>
      <c r="B35" s="46"/>
      <c r="C35" s="47">
        <v>14</v>
      </c>
      <c r="D35" s="54"/>
      <c r="E35" s="47">
        <v>14</v>
      </c>
      <c r="F35" s="54"/>
      <c r="G35" s="47">
        <v>14</v>
      </c>
      <c r="H35" s="54"/>
      <c r="I35" s="47">
        <v>14</v>
      </c>
      <c r="J35" s="54"/>
      <c r="K35" s="47">
        <v>14</v>
      </c>
      <c r="L35" s="54"/>
      <c r="M35" s="56"/>
      <c r="N35" s="47">
        <v>10</v>
      </c>
      <c r="O35" s="50"/>
      <c r="P35" s="47">
        <v>10</v>
      </c>
      <c r="Q35" s="50"/>
      <c r="R35" s="47">
        <v>10</v>
      </c>
      <c r="S35" s="50"/>
      <c r="T35" s="47">
        <v>10</v>
      </c>
      <c r="U35" s="50"/>
      <c r="V35" s="47">
        <v>10</v>
      </c>
      <c r="W35" s="50"/>
    </row>
    <row r="36" spans="1:23">
      <c r="A36" s="57" t="s">
        <v>85</v>
      </c>
      <c r="B36" s="46"/>
      <c r="C36" s="47">
        <v>304</v>
      </c>
      <c r="D36" s="49" t="s">
        <v>8</v>
      </c>
      <c r="E36" s="47">
        <v>275</v>
      </c>
      <c r="F36" s="49" t="s">
        <v>8</v>
      </c>
      <c r="G36" s="47">
        <v>265</v>
      </c>
      <c r="H36" s="49" t="s">
        <v>8</v>
      </c>
      <c r="I36" s="47">
        <v>39.908999999999999</v>
      </c>
      <c r="J36" s="49" t="s">
        <v>8</v>
      </c>
      <c r="K36" s="47">
        <v>10.922000000000001</v>
      </c>
      <c r="L36" s="49" t="s">
        <v>78</v>
      </c>
      <c r="M36" s="56"/>
      <c r="N36" s="47">
        <v>81.822999999999993</v>
      </c>
      <c r="O36" s="49"/>
      <c r="P36" s="47">
        <v>74.331000000000003</v>
      </c>
      <c r="Q36" s="49"/>
      <c r="R36" s="47">
        <v>69.084999999999994</v>
      </c>
      <c r="S36" s="49" t="s">
        <v>78</v>
      </c>
      <c r="T36" s="47">
        <v>3.3</v>
      </c>
      <c r="U36" s="49" t="s">
        <v>8</v>
      </c>
      <c r="V36" s="47">
        <v>2.5</v>
      </c>
      <c r="W36" s="54"/>
    </row>
    <row r="37" spans="1:23">
      <c r="A37" s="57" t="s">
        <v>37</v>
      </c>
      <c r="B37" s="46"/>
      <c r="C37" s="47">
        <v>91759.8</v>
      </c>
      <c r="D37" s="54"/>
      <c r="E37" s="47">
        <v>96980</v>
      </c>
      <c r="F37" s="54"/>
      <c r="G37" s="47">
        <v>96764.4</v>
      </c>
      <c r="H37" s="54"/>
      <c r="I37" s="47">
        <v>102000</v>
      </c>
      <c r="J37" s="54"/>
      <c r="K37" s="47">
        <v>105000</v>
      </c>
      <c r="L37" s="54"/>
      <c r="M37" s="56"/>
      <c r="N37" s="47">
        <v>53000</v>
      </c>
      <c r="O37" s="50" t="s">
        <v>9</v>
      </c>
      <c r="P37" s="47">
        <v>56200</v>
      </c>
      <c r="Q37" s="50" t="s">
        <v>9</v>
      </c>
      <c r="R37" s="47">
        <v>56100</v>
      </c>
      <c r="S37" s="50" t="s">
        <v>9</v>
      </c>
      <c r="T37" s="47">
        <v>59100</v>
      </c>
      <c r="U37" s="50" t="s">
        <v>9</v>
      </c>
      <c r="V37" s="47">
        <v>60800</v>
      </c>
      <c r="W37" s="50"/>
    </row>
    <row r="38" spans="1:23">
      <c r="A38" s="57" t="s">
        <v>38</v>
      </c>
      <c r="B38" s="46"/>
      <c r="C38" s="47">
        <v>930</v>
      </c>
      <c r="D38" s="49" t="s">
        <v>8</v>
      </c>
      <c r="E38" s="47">
        <v>850</v>
      </c>
      <c r="F38" s="49" t="s">
        <v>8</v>
      </c>
      <c r="G38" s="47">
        <v>850</v>
      </c>
      <c r="H38" s="49" t="s">
        <v>8</v>
      </c>
      <c r="I38" s="47">
        <v>700</v>
      </c>
      <c r="J38" s="49" t="s">
        <v>8</v>
      </c>
      <c r="K38" s="47">
        <v>3626.6680000000001</v>
      </c>
      <c r="L38" s="54">
        <v>6</v>
      </c>
      <c r="M38" s="56"/>
      <c r="N38" s="47">
        <v>326</v>
      </c>
      <c r="O38" s="51" t="s">
        <v>8</v>
      </c>
      <c r="P38" s="47">
        <v>302</v>
      </c>
      <c r="Q38" s="51" t="s">
        <v>8</v>
      </c>
      <c r="R38" s="47">
        <v>259</v>
      </c>
      <c r="S38" s="51" t="s">
        <v>8</v>
      </c>
      <c r="T38" s="47">
        <v>250</v>
      </c>
      <c r="U38" s="51" t="s">
        <v>8</v>
      </c>
      <c r="V38" s="47">
        <v>1300</v>
      </c>
      <c r="W38" s="50"/>
    </row>
    <row r="39" spans="1:23">
      <c r="A39" s="57" t="s">
        <v>166</v>
      </c>
      <c r="B39" s="46"/>
      <c r="C39" s="47">
        <v>38085.855000000003</v>
      </c>
      <c r="D39" s="54"/>
      <c r="E39" s="47">
        <v>39322</v>
      </c>
      <c r="F39" s="54"/>
      <c r="G39" s="47">
        <v>39542.072</v>
      </c>
      <c r="H39" s="54"/>
      <c r="I39" s="47">
        <v>41326.036</v>
      </c>
      <c r="J39" s="54"/>
      <c r="K39" s="47">
        <v>42083.080999999998</v>
      </c>
      <c r="L39" s="49" t="s">
        <v>82</v>
      </c>
      <c r="M39" s="56"/>
      <c r="N39" s="47">
        <v>24000</v>
      </c>
      <c r="O39" s="54" t="s">
        <v>9</v>
      </c>
      <c r="P39" s="47">
        <v>24800</v>
      </c>
      <c r="Q39" s="54" t="s">
        <v>9</v>
      </c>
      <c r="R39" s="47">
        <v>25000</v>
      </c>
      <c r="S39" s="54" t="s">
        <v>9</v>
      </c>
      <c r="T39" s="47">
        <v>26100</v>
      </c>
      <c r="U39" s="54" t="s">
        <v>9</v>
      </c>
      <c r="V39" s="47">
        <v>26600</v>
      </c>
      <c r="W39" s="54"/>
    </row>
    <row r="40" spans="1:23">
      <c r="A40" s="57" t="s">
        <v>167</v>
      </c>
      <c r="B40" s="46"/>
      <c r="C40" s="47">
        <v>21500</v>
      </c>
      <c r="D40" s="48"/>
      <c r="E40" s="47">
        <v>22300</v>
      </c>
      <c r="F40" s="48"/>
      <c r="G40" s="47">
        <v>23300</v>
      </c>
      <c r="H40" s="48"/>
      <c r="I40" s="47">
        <v>23300</v>
      </c>
      <c r="J40" s="48"/>
      <c r="K40" s="47">
        <v>24700</v>
      </c>
      <c r="L40" s="48"/>
      <c r="M40" s="56"/>
      <c r="N40" s="47">
        <v>14100</v>
      </c>
      <c r="O40" s="51" t="s">
        <v>78</v>
      </c>
      <c r="P40" s="47">
        <v>14700</v>
      </c>
      <c r="Q40" s="50"/>
      <c r="R40" s="47">
        <v>15300</v>
      </c>
      <c r="S40" s="50"/>
      <c r="T40" s="47">
        <v>15000</v>
      </c>
      <c r="U40" s="50"/>
      <c r="V40" s="47">
        <v>16000</v>
      </c>
      <c r="W40" s="50"/>
    </row>
    <row r="41" spans="1:23">
      <c r="A41" s="57" t="s">
        <v>40</v>
      </c>
      <c r="B41" s="46"/>
      <c r="C41" s="47">
        <v>9.6750000000000007</v>
      </c>
      <c r="D41" s="48"/>
      <c r="E41" s="47">
        <v>135.58000000000001</v>
      </c>
      <c r="F41" s="48"/>
      <c r="G41" s="47">
        <v>230.946</v>
      </c>
      <c r="H41" s="49" t="s">
        <v>8</v>
      </c>
      <c r="I41" s="47">
        <v>264.28899999999999</v>
      </c>
      <c r="J41" s="54"/>
      <c r="K41" s="47">
        <v>1554.86</v>
      </c>
      <c r="L41" s="54">
        <v>6</v>
      </c>
      <c r="M41" s="56"/>
      <c r="N41" s="47">
        <v>4.8</v>
      </c>
      <c r="O41" s="50" t="s">
        <v>9</v>
      </c>
      <c r="P41" s="47">
        <v>68</v>
      </c>
      <c r="Q41" s="50" t="s">
        <v>9</v>
      </c>
      <c r="R41" s="47">
        <v>116</v>
      </c>
      <c r="S41" s="51"/>
      <c r="T41" s="47">
        <v>132</v>
      </c>
      <c r="U41" s="50" t="s">
        <v>9</v>
      </c>
      <c r="V41" s="47">
        <v>891.91</v>
      </c>
      <c r="W41" s="50">
        <v>6</v>
      </c>
    </row>
    <row r="42" spans="1:23">
      <c r="A42" s="61" t="s">
        <v>42</v>
      </c>
      <c r="B42" s="46"/>
      <c r="C42" s="47">
        <v>164</v>
      </c>
      <c r="D42" s="48"/>
      <c r="E42" s="47">
        <v>256</v>
      </c>
      <c r="F42" s="49" t="s">
        <v>8</v>
      </c>
      <c r="G42" s="47">
        <v>206</v>
      </c>
      <c r="H42" s="48"/>
      <c r="I42" s="47">
        <v>214</v>
      </c>
      <c r="J42" s="49" t="s">
        <v>8</v>
      </c>
      <c r="K42" s="47">
        <v>220</v>
      </c>
      <c r="L42" s="54"/>
      <c r="M42" s="61"/>
      <c r="N42" s="47">
        <v>87</v>
      </c>
      <c r="O42" s="54" t="s">
        <v>9</v>
      </c>
      <c r="P42" s="47">
        <v>134</v>
      </c>
      <c r="Q42" s="49" t="s">
        <v>79</v>
      </c>
      <c r="R42" s="47">
        <v>108</v>
      </c>
      <c r="S42" s="49" t="s">
        <v>79</v>
      </c>
      <c r="T42" s="47">
        <v>112</v>
      </c>
      <c r="U42" s="49" t="s">
        <v>79</v>
      </c>
      <c r="V42" s="47">
        <v>115</v>
      </c>
      <c r="W42" s="54"/>
    </row>
    <row r="43" spans="1:23">
      <c r="A43" s="57" t="s">
        <v>45</v>
      </c>
      <c r="B43" s="46"/>
      <c r="C43" s="47">
        <v>3429</v>
      </c>
      <c r="D43" s="49"/>
      <c r="E43" s="47">
        <v>3857</v>
      </c>
      <c r="F43" s="49"/>
      <c r="G43" s="47">
        <v>4598</v>
      </c>
      <c r="H43" s="49" t="s">
        <v>8</v>
      </c>
      <c r="I43" s="47">
        <v>3251</v>
      </c>
      <c r="J43" s="51" t="s">
        <v>8</v>
      </c>
      <c r="K43" s="47">
        <v>3800</v>
      </c>
      <c r="L43" s="50"/>
      <c r="M43" s="61"/>
      <c r="N43" s="47">
        <v>1830</v>
      </c>
      <c r="O43" s="49" t="s">
        <v>9</v>
      </c>
      <c r="P43" s="47">
        <v>2060</v>
      </c>
      <c r="Q43" s="51" t="s">
        <v>9</v>
      </c>
      <c r="R43" s="47">
        <v>2450</v>
      </c>
      <c r="S43" s="51" t="s">
        <v>79</v>
      </c>
      <c r="T43" s="47">
        <v>1730</v>
      </c>
      <c r="U43" s="51" t="s">
        <v>79</v>
      </c>
      <c r="V43" s="47">
        <v>2020</v>
      </c>
      <c r="W43" s="50"/>
    </row>
    <row r="44" spans="1:23">
      <c r="A44" s="57" t="s">
        <v>49</v>
      </c>
      <c r="B44" s="46"/>
      <c r="C44" s="47">
        <v>62497.599999999999</v>
      </c>
      <c r="D44" s="49"/>
      <c r="E44" s="47">
        <v>65550</v>
      </c>
      <c r="F44" s="49"/>
      <c r="G44" s="47">
        <v>68569.600000000006</v>
      </c>
      <c r="H44" s="49"/>
      <c r="I44" s="47">
        <v>74000</v>
      </c>
      <c r="J44" s="54"/>
      <c r="K44" s="47">
        <v>77900</v>
      </c>
      <c r="L44" s="54">
        <v>6</v>
      </c>
      <c r="M44" s="61"/>
      <c r="N44" s="47">
        <v>34300</v>
      </c>
      <c r="O44" s="51" t="s">
        <v>9</v>
      </c>
      <c r="P44" s="47">
        <v>36000</v>
      </c>
      <c r="Q44" s="51" t="s">
        <v>9</v>
      </c>
      <c r="R44" s="47">
        <v>37700</v>
      </c>
      <c r="S44" s="51" t="s">
        <v>9</v>
      </c>
      <c r="T44" s="47">
        <v>40700</v>
      </c>
      <c r="U44" s="51" t="s">
        <v>9</v>
      </c>
      <c r="V44" s="47">
        <v>42800</v>
      </c>
      <c r="W44" s="50"/>
    </row>
    <row r="45" spans="1:23">
      <c r="A45" s="57" t="s">
        <v>168</v>
      </c>
      <c r="B45" s="46"/>
      <c r="C45" s="47">
        <v>0.5</v>
      </c>
      <c r="D45" s="61"/>
      <c r="E45" s="47">
        <v>0.5</v>
      </c>
      <c r="F45" s="50"/>
      <c r="G45" s="58" t="s">
        <v>83</v>
      </c>
      <c r="H45" s="51" t="s">
        <v>8</v>
      </c>
      <c r="I45" s="58" t="s">
        <v>83</v>
      </c>
      <c r="J45" s="51" t="s">
        <v>8</v>
      </c>
      <c r="K45" s="58" t="s">
        <v>83</v>
      </c>
      <c r="L45" s="50"/>
      <c r="M45" s="61"/>
      <c r="N45" s="58" t="s">
        <v>83</v>
      </c>
      <c r="O45" s="54"/>
      <c r="P45" s="58" t="s">
        <v>83</v>
      </c>
      <c r="Q45" s="50"/>
      <c r="R45" s="58" t="s">
        <v>83</v>
      </c>
      <c r="S45" s="49"/>
      <c r="T45" s="58" t="s">
        <v>83</v>
      </c>
      <c r="U45" s="49"/>
      <c r="V45" s="58" t="s">
        <v>83</v>
      </c>
      <c r="W45" s="50"/>
    </row>
    <row r="46" spans="1:23">
      <c r="A46" s="57" t="s">
        <v>51</v>
      </c>
      <c r="B46" s="46"/>
      <c r="C46" s="47">
        <v>48600</v>
      </c>
      <c r="D46" s="48"/>
      <c r="E46" s="47">
        <v>54700</v>
      </c>
      <c r="F46" s="54"/>
      <c r="G46" s="47">
        <v>54300</v>
      </c>
      <c r="H46" s="48"/>
      <c r="I46" s="47">
        <v>52700</v>
      </c>
      <c r="J46" s="48"/>
      <c r="K46" s="47">
        <v>52500</v>
      </c>
      <c r="L46" s="54">
        <v>6</v>
      </c>
      <c r="M46" s="61"/>
      <c r="N46" s="47">
        <v>30600</v>
      </c>
      <c r="O46" s="54"/>
      <c r="P46" s="47">
        <v>34500</v>
      </c>
      <c r="Q46" s="54"/>
      <c r="R46" s="47">
        <v>34200</v>
      </c>
      <c r="S46" s="54"/>
      <c r="T46" s="47">
        <v>33300</v>
      </c>
      <c r="U46" s="54"/>
      <c r="V46" s="47">
        <v>33100</v>
      </c>
      <c r="W46" s="54">
        <v>6</v>
      </c>
    </row>
    <row r="47" spans="1:23">
      <c r="A47" s="62" t="s">
        <v>169</v>
      </c>
      <c r="B47" s="46"/>
      <c r="C47" s="47">
        <v>17954.494999999999</v>
      </c>
      <c r="D47" s="61"/>
      <c r="E47" s="47">
        <v>19196</v>
      </c>
      <c r="F47" s="50"/>
      <c r="G47" s="47">
        <v>20000</v>
      </c>
      <c r="H47" s="51" t="s">
        <v>9</v>
      </c>
      <c r="I47" s="47">
        <v>23000</v>
      </c>
      <c r="J47" s="50" t="s">
        <v>9</v>
      </c>
      <c r="K47" s="47">
        <v>23000</v>
      </c>
      <c r="L47" s="50"/>
      <c r="M47" s="61"/>
      <c r="N47" s="47">
        <v>11936</v>
      </c>
      <c r="O47" s="50"/>
      <c r="P47" s="47">
        <v>12669</v>
      </c>
      <c r="Q47" s="50"/>
      <c r="R47" s="47">
        <v>13000</v>
      </c>
      <c r="S47" s="51" t="s">
        <v>9</v>
      </c>
      <c r="T47" s="47">
        <v>15200</v>
      </c>
      <c r="U47" s="51" t="s">
        <v>9</v>
      </c>
      <c r="V47" s="47">
        <v>15000</v>
      </c>
      <c r="W47" s="50"/>
    </row>
    <row r="48" spans="1:23">
      <c r="A48" s="57" t="s">
        <v>86</v>
      </c>
      <c r="B48" s="46"/>
      <c r="C48" s="47">
        <v>1080</v>
      </c>
      <c r="D48" s="51" t="s">
        <v>8</v>
      </c>
      <c r="E48" s="47">
        <v>990</v>
      </c>
      <c r="F48" s="51" t="s">
        <v>79</v>
      </c>
      <c r="G48" s="47">
        <v>1009.4</v>
      </c>
      <c r="H48" s="51" t="s">
        <v>8</v>
      </c>
      <c r="I48" s="47">
        <v>1020</v>
      </c>
      <c r="J48" s="51" t="s">
        <v>8</v>
      </c>
      <c r="K48" s="47">
        <v>1060</v>
      </c>
      <c r="L48" s="61"/>
      <c r="M48" s="61"/>
      <c r="N48" s="47">
        <v>540</v>
      </c>
      <c r="O48" s="51" t="s">
        <v>8</v>
      </c>
      <c r="P48" s="47">
        <v>495</v>
      </c>
      <c r="Q48" s="51" t="s">
        <v>79</v>
      </c>
      <c r="R48" s="47">
        <v>504.7</v>
      </c>
      <c r="S48" s="51" t="s">
        <v>8</v>
      </c>
      <c r="T48" s="47">
        <v>510</v>
      </c>
      <c r="U48" s="51" t="s">
        <v>8</v>
      </c>
      <c r="V48" s="47">
        <v>530</v>
      </c>
      <c r="W48" s="50"/>
    </row>
    <row r="49" spans="1:23">
      <c r="A49" s="52" t="s">
        <v>170</v>
      </c>
      <c r="B49" s="46"/>
      <c r="C49" s="47">
        <v>366.73700000000002</v>
      </c>
      <c r="D49" s="51"/>
      <c r="E49" s="47">
        <v>283</v>
      </c>
      <c r="F49" s="51"/>
      <c r="G49" s="47">
        <v>377</v>
      </c>
      <c r="H49" s="51"/>
      <c r="I49" s="47">
        <v>104</v>
      </c>
      <c r="J49" s="49" t="s">
        <v>8</v>
      </c>
      <c r="K49" s="47">
        <v>100</v>
      </c>
      <c r="L49" s="48"/>
      <c r="M49" s="61"/>
      <c r="N49" s="47">
        <v>180</v>
      </c>
      <c r="O49" s="51" t="s">
        <v>9</v>
      </c>
      <c r="P49" s="47">
        <v>154</v>
      </c>
      <c r="Q49" s="49" t="s">
        <v>9</v>
      </c>
      <c r="R49" s="47">
        <v>200</v>
      </c>
      <c r="S49" s="49" t="s">
        <v>9</v>
      </c>
      <c r="T49" s="47">
        <v>52</v>
      </c>
      <c r="U49" s="49" t="s">
        <v>79</v>
      </c>
      <c r="V49" s="47">
        <v>50</v>
      </c>
      <c r="W49" s="54"/>
    </row>
    <row r="50" spans="1:23">
      <c r="A50" s="63" t="s">
        <v>54</v>
      </c>
      <c r="B50" s="64"/>
      <c r="C50" s="41">
        <v>1210000</v>
      </c>
      <c r="D50" s="65"/>
      <c r="E50" s="41">
        <v>1360000</v>
      </c>
      <c r="F50" s="65"/>
      <c r="G50" s="41">
        <v>1540000</v>
      </c>
      <c r="H50" s="65"/>
      <c r="I50" s="41">
        <v>1820000</v>
      </c>
      <c r="J50" s="65" t="s">
        <v>8</v>
      </c>
      <c r="K50" s="41">
        <v>2030000</v>
      </c>
      <c r="L50" s="65"/>
      <c r="M50" s="66"/>
      <c r="N50" s="41">
        <v>675000</v>
      </c>
      <c r="O50" s="65"/>
      <c r="P50" s="41">
        <v>751000</v>
      </c>
      <c r="Q50" s="65" t="s">
        <v>8</v>
      </c>
      <c r="R50" s="41">
        <v>837000</v>
      </c>
      <c r="S50" s="65" t="s">
        <v>8</v>
      </c>
      <c r="T50" s="41">
        <v>950000</v>
      </c>
      <c r="U50" s="65" t="s">
        <v>8</v>
      </c>
      <c r="V50" s="41">
        <v>1050000</v>
      </c>
      <c r="W50" s="67"/>
    </row>
    <row r="52" spans="1:23">
      <c r="A52" s="370" t="s">
        <v>171</v>
      </c>
      <c r="B52" s="371"/>
      <c r="C52" s="371"/>
      <c r="D52" s="371"/>
      <c r="E52" s="371"/>
      <c r="F52" s="371"/>
      <c r="G52" s="371"/>
      <c r="H52" s="371"/>
      <c r="I52" s="371"/>
      <c r="J52" s="371"/>
      <c r="K52" s="371"/>
      <c r="L52" s="371"/>
      <c r="M52" s="371"/>
      <c r="N52" s="371"/>
      <c r="O52" s="371"/>
      <c r="P52" s="371"/>
      <c r="Q52" s="371"/>
      <c r="R52" s="371"/>
      <c r="S52" s="371"/>
      <c r="T52" s="371"/>
      <c r="U52" s="371"/>
      <c r="V52" s="371"/>
      <c r="W52" s="371"/>
    </row>
    <row r="53" spans="1:23">
      <c r="A53" s="372" t="s">
        <v>172</v>
      </c>
      <c r="B53" s="367"/>
      <c r="C53" s="367"/>
      <c r="D53" s="367"/>
      <c r="E53" s="367"/>
      <c r="F53" s="367"/>
      <c r="G53" s="367"/>
      <c r="H53" s="367"/>
      <c r="I53" s="367"/>
      <c r="J53" s="367"/>
      <c r="K53" s="367"/>
      <c r="L53" s="367"/>
      <c r="M53" s="367"/>
      <c r="N53" s="367"/>
      <c r="O53" s="367"/>
      <c r="P53" s="367"/>
      <c r="Q53" s="367"/>
      <c r="R53" s="367"/>
      <c r="S53" s="367"/>
      <c r="T53" s="367"/>
      <c r="U53" s="367"/>
      <c r="V53" s="367"/>
      <c r="W53" s="367"/>
    </row>
    <row r="54" spans="1:23">
      <c r="A54" s="372" t="s">
        <v>173</v>
      </c>
      <c r="B54" s="367"/>
      <c r="C54" s="367"/>
      <c r="D54" s="367"/>
      <c r="E54" s="367"/>
      <c r="F54" s="367"/>
      <c r="G54" s="367"/>
      <c r="H54" s="367"/>
      <c r="I54" s="367"/>
      <c r="J54" s="367"/>
      <c r="K54" s="367"/>
      <c r="L54" s="367"/>
      <c r="M54" s="367"/>
      <c r="N54" s="367"/>
      <c r="O54" s="367"/>
      <c r="P54" s="367"/>
      <c r="Q54" s="367"/>
      <c r="R54" s="367"/>
      <c r="S54" s="367"/>
      <c r="T54" s="367"/>
      <c r="U54" s="367"/>
      <c r="V54" s="367"/>
      <c r="W54" s="367"/>
    </row>
    <row r="55" spans="1:23">
      <c r="A55" s="366" t="s">
        <v>174</v>
      </c>
      <c r="B55" s="367"/>
      <c r="C55" s="367"/>
      <c r="D55" s="367"/>
      <c r="E55" s="367"/>
      <c r="F55" s="367"/>
      <c r="G55" s="367"/>
      <c r="H55" s="367"/>
      <c r="I55" s="367"/>
      <c r="J55" s="367"/>
      <c r="K55" s="367"/>
      <c r="L55" s="367"/>
      <c r="M55" s="367"/>
      <c r="N55" s="367"/>
      <c r="O55" s="367"/>
      <c r="P55" s="367"/>
      <c r="Q55" s="367"/>
      <c r="R55" s="367"/>
      <c r="S55" s="367"/>
      <c r="T55" s="367"/>
      <c r="U55" s="367"/>
      <c r="V55" s="367"/>
      <c r="W55" s="367"/>
    </row>
    <row r="56" spans="1:23">
      <c r="A56" s="373" t="s">
        <v>87</v>
      </c>
      <c r="B56" s="374"/>
      <c r="C56" s="374"/>
      <c r="D56" s="374"/>
      <c r="E56" s="374"/>
      <c r="F56" s="374"/>
      <c r="G56" s="374"/>
      <c r="H56" s="374"/>
      <c r="I56" s="374"/>
      <c r="J56" s="374"/>
      <c r="K56" s="374"/>
      <c r="L56" s="374"/>
      <c r="M56" s="374"/>
      <c r="N56" s="374"/>
      <c r="O56" s="374"/>
      <c r="P56" s="374"/>
      <c r="Q56" s="374"/>
      <c r="R56" s="374"/>
      <c r="S56" s="374"/>
      <c r="T56" s="374"/>
      <c r="U56" s="374"/>
      <c r="V56" s="374"/>
      <c r="W56" s="374"/>
    </row>
    <row r="57" spans="1:23">
      <c r="A57" s="373" t="s">
        <v>88</v>
      </c>
      <c r="B57" s="367"/>
      <c r="C57" s="367"/>
      <c r="D57" s="367"/>
      <c r="E57" s="367"/>
      <c r="F57" s="367"/>
      <c r="G57" s="367"/>
      <c r="H57" s="367"/>
      <c r="I57" s="367"/>
      <c r="J57" s="367"/>
      <c r="K57" s="367"/>
      <c r="L57" s="367"/>
      <c r="M57" s="367"/>
      <c r="N57" s="367"/>
      <c r="O57" s="367"/>
      <c r="P57" s="367"/>
      <c r="Q57" s="367"/>
      <c r="R57" s="367"/>
      <c r="S57" s="367"/>
      <c r="T57" s="367"/>
      <c r="U57" s="367"/>
      <c r="V57" s="367"/>
      <c r="W57" s="367"/>
    </row>
    <row r="58" spans="1:23">
      <c r="A58" s="372" t="s">
        <v>175</v>
      </c>
      <c r="B58" s="367"/>
      <c r="C58" s="367"/>
      <c r="D58" s="367"/>
      <c r="E58" s="367"/>
      <c r="F58" s="367"/>
      <c r="G58" s="367"/>
      <c r="H58" s="367"/>
      <c r="I58" s="367"/>
      <c r="J58" s="367"/>
      <c r="K58" s="367"/>
      <c r="L58" s="367"/>
      <c r="M58" s="367"/>
      <c r="N58" s="367"/>
      <c r="O58" s="367"/>
      <c r="P58" s="367"/>
      <c r="Q58" s="367"/>
      <c r="R58" s="367"/>
      <c r="S58" s="367"/>
      <c r="T58" s="367"/>
      <c r="U58" s="367"/>
      <c r="V58" s="367"/>
      <c r="W58" s="367"/>
    </row>
    <row r="59" spans="1:23">
      <c r="A59" s="367" t="s">
        <v>89</v>
      </c>
      <c r="B59" s="367"/>
      <c r="C59" s="367"/>
      <c r="D59" s="367"/>
      <c r="E59" s="367"/>
      <c r="F59" s="367"/>
      <c r="G59" s="367"/>
      <c r="H59" s="367"/>
      <c r="I59" s="367"/>
      <c r="J59" s="367"/>
      <c r="K59" s="367"/>
      <c r="L59" s="367"/>
      <c r="M59" s="367"/>
      <c r="N59" s="367"/>
      <c r="O59" s="367"/>
      <c r="P59" s="367"/>
      <c r="Q59" s="367"/>
      <c r="R59" s="367"/>
      <c r="S59" s="367"/>
      <c r="T59" s="367"/>
      <c r="U59" s="367"/>
      <c r="V59" s="367"/>
      <c r="W59" s="367"/>
    </row>
    <row r="60" spans="1:23">
      <c r="A60" s="367" t="s">
        <v>90</v>
      </c>
      <c r="B60" s="374"/>
      <c r="C60" s="374"/>
      <c r="D60" s="374"/>
      <c r="E60" s="374"/>
      <c r="F60" s="374"/>
      <c r="G60" s="374"/>
      <c r="H60" s="374"/>
      <c r="I60" s="374"/>
      <c r="J60" s="374"/>
      <c r="K60" s="374"/>
      <c r="L60" s="374"/>
      <c r="M60" s="374"/>
      <c r="N60" s="374"/>
      <c r="O60" s="374"/>
      <c r="P60" s="374"/>
      <c r="Q60" s="374"/>
      <c r="R60" s="374"/>
      <c r="S60" s="374"/>
      <c r="T60" s="374"/>
      <c r="U60" s="374"/>
      <c r="V60" s="61"/>
      <c r="W60" s="61"/>
    </row>
    <row r="61" spans="1:23">
      <c r="A61" s="372" t="s">
        <v>176</v>
      </c>
      <c r="B61" s="367"/>
      <c r="C61" s="367"/>
      <c r="D61" s="367"/>
      <c r="E61" s="367"/>
      <c r="F61" s="367"/>
      <c r="G61" s="367"/>
      <c r="H61" s="367"/>
      <c r="I61" s="367"/>
      <c r="J61" s="367"/>
      <c r="K61" s="367"/>
      <c r="L61" s="367"/>
      <c r="M61" s="367"/>
      <c r="N61" s="367"/>
      <c r="O61" s="367"/>
      <c r="P61" s="367"/>
      <c r="Q61" s="367"/>
      <c r="R61" s="367"/>
      <c r="S61" s="367"/>
      <c r="T61" s="367"/>
      <c r="U61" s="367"/>
      <c r="V61" s="367"/>
      <c r="W61" s="367"/>
    </row>
    <row r="62" spans="1:23">
      <c r="A62" s="372" t="s">
        <v>177</v>
      </c>
      <c r="B62" s="367"/>
      <c r="C62" s="367"/>
      <c r="D62" s="367"/>
      <c r="E62" s="367"/>
      <c r="F62" s="367"/>
      <c r="G62" s="367"/>
      <c r="H62" s="367"/>
      <c r="I62" s="367"/>
      <c r="J62" s="367"/>
      <c r="K62" s="367"/>
      <c r="L62" s="367"/>
      <c r="M62" s="367"/>
      <c r="N62" s="367"/>
      <c r="O62" s="367"/>
      <c r="P62" s="367"/>
      <c r="Q62" s="367"/>
      <c r="R62" s="367"/>
      <c r="S62" s="367"/>
      <c r="T62" s="367"/>
      <c r="U62" s="367"/>
      <c r="V62" s="367"/>
      <c r="W62" s="367"/>
    </row>
    <row r="63" spans="1:23">
      <c r="A63" s="372" t="s">
        <v>178</v>
      </c>
      <c r="B63" s="367"/>
      <c r="C63" s="367"/>
      <c r="D63" s="367"/>
      <c r="E63" s="367"/>
      <c r="F63" s="367"/>
      <c r="G63" s="367"/>
      <c r="H63" s="367"/>
      <c r="I63" s="367"/>
      <c r="J63" s="367"/>
      <c r="K63" s="367"/>
      <c r="L63" s="367"/>
      <c r="M63" s="367"/>
      <c r="N63" s="367"/>
      <c r="O63" s="367"/>
      <c r="P63" s="367"/>
      <c r="Q63" s="367"/>
      <c r="R63" s="367"/>
      <c r="S63" s="367"/>
      <c r="T63" s="367"/>
      <c r="U63" s="367"/>
      <c r="V63" s="367"/>
      <c r="W63" s="367"/>
    </row>
    <row r="64" spans="1:23">
      <c r="A64" s="372" t="s">
        <v>179</v>
      </c>
      <c r="B64" s="367"/>
      <c r="C64" s="367"/>
      <c r="D64" s="367"/>
      <c r="E64" s="367"/>
      <c r="F64" s="367"/>
      <c r="G64" s="367"/>
      <c r="H64" s="367"/>
      <c r="I64" s="367"/>
      <c r="J64" s="367"/>
      <c r="K64" s="367"/>
      <c r="L64" s="367"/>
      <c r="M64" s="367"/>
      <c r="N64" s="367"/>
      <c r="O64" s="367"/>
      <c r="P64" s="367"/>
      <c r="Q64" s="367"/>
      <c r="R64" s="367"/>
      <c r="S64" s="367"/>
      <c r="T64" s="367"/>
      <c r="U64" s="367"/>
      <c r="V64" s="367"/>
      <c r="W64" s="367"/>
    </row>
    <row r="65" spans="1:23">
      <c r="A65" s="367" t="s">
        <v>92</v>
      </c>
      <c r="B65" s="367"/>
      <c r="C65" s="367"/>
      <c r="D65" s="367"/>
      <c r="E65" s="367"/>
      <c r="F65" s="367"/>
      <c r="G65" s="367"/>
      <c r="H65" s="367"/>
      <c r="I65" s="367"/>
      <c r="J65" s="367"/>
      <c r="K65" s="367"/>
      <c r="L65" s="367"/>
      <c r="M65" s="367"/>
      <c r="N65" s="367"/>
      <c r="O65" s="367"/>
      <c r="P65" s="367"/>
      <c r="Q65" s="367"/>
      <c r="R65" s="367"/>
      <c r="S65" s="367"/>
      <c r="T65" s="367"/>
      <c r="U65" s="367"/>
      <c r="V65" s="367"/>
      <c r="W65" s="367"/>
    </row>
    <row r="66" spans="1:23">
      <c r="A66" s="372" t="s">
        <v>180</v>
      </c>
      <c r="B66" s="367"/>
      <c r="C66" s="367"/>
      <c r="D66" s="367"/>
      <c r="E66" s="367"/>
      <c r="F66" s="367"/>
      <c r="G66" s="367"/>
      <c r="H66" s="367"/>
      <c r="I66" s="367"/>
      <c r="J66" s="367"/>
      <c r="K66" s="367"/>
      <c r="L66" s="367"/>
      <c r="M66" s="367"/>
      <c r="N66" s="367"/>
      <c r="O66" s="367"/>
      <c r="P66" s="367"/>
      <c r="Q66" s="367"/>
      <c r="R66" s="367"/>
      <c r="S66" s="367"/>
      <c r="T66" s="367"/>
      <c r="U66" s="367"/>
      <c r="V66" s="367"/>
      <c r="W66" s="367"/>
    </row>
    <row r="67" spans="1:23">
      <c r="A67" s="372" t="s">
        <v>181</v>
      </c>
      <c r="B67" s="367"/>
      <c r="C67" s="367"/>
      <c r="D67" s="367"/>
      <c r="E67" s="367"/>
      <c r="F67" s="367"/>
      <c r="G67" s="367"/>
      <c r="H67" s="367"/>
      <c r="I67" s="367"/>
      <c r="J67" s="367"/>
      <c r="K67" s="367"/>
      <c r="L67" s="367"/>
      <c r="M67" s="367"/>
      <c r="N67" s="367"/>
      <c r="O67" s="367"/>
      <c r="P67" s="367"/>
      <c r="Q67" s="367"/>
      <c r="R67" s="367"/>
      <c r="S67" s="367"/>
      <c r="T67" s="367"/>
      <c r="U67" s="367"/>
      <c r="V67" s="367"/>
      <c r="W67" s="367"/>
    </row>
    <row r="68" spans="1:23">
      <c r="A68" s="372" t="s">
        <v>182</v>
      </c>
      <c r="B68" s="367"/>
      <c r="C68" s="367"/>
      <c r="D68" s="367"/>
      <c r="E68" s="367"/>
      <c r="F68" s="367"/>
      <c r="G68" s="367"/>
      <c r="H68" s="367"/>
      <c r="I68" s="367"/>
      <c r="J68" s="367"/>
      <c r="K68" s="367"/>
      <c r="L68" s="367"/>
      <c r="M68" s="367"/>
      <c r="N68" s="367"/>
      <c r="O68" s="367"/>
      <c r="P68" s="367"/>
      <c r="Q68" s="367"/>
      <c r="R68" s="367"/>
      <c r="S68" s="367"/>
      <c r="T68" s="367"/>
      <c r="U68" s="367"/>
      <c r="V68" s="367"/>
      <c r="W68" s="367"/>
    </row>
    <row r="69" spans="1:23">
      <c r="A69" s="372" t="s">
        <v>183</v>
      </c>
      <c r="B69" s="372"/>
      <c r="C69" s="372"/>
      <c r="D69" s="372"/>
      <c r="E69" s="372"/>
      <c r="F69" s="372"/>
      <c r="G69" s="372"/>
      <c r="H69" s="372"/>
      <c r="I69" s="372"/>
      <c r="J69" s="372"/>
      <c r="K69" s="372"/>
      <c r="L69" s="372"/>
      <c r="M69" s="372"/>
      <c r="N69" s="372"/>
      <c r="O69" s="372"/>
      <c r="P69" s="372"/>
      <c r="Q69" s="372"/>
      <c r="R69" s="372"/>
      <c r="S69" s="372"/>
      <c r="T69" s="372"/>
      <c r="U69" s="372"/>
      <c r="V69" s="372"/>
      <c r="W69" s="372"/>
    </row>
    <row r="70" spans="1:23">
      <c r="A70" s="372" t="s">
        <v>184</v>
      </c>
      <c r="B70" s="367"/>
      <c r="C70" s="367"/>
      <c r="D70" s="367"/>
      <c r="E70" s="367"/>
      <c r="F70" s="367"/>
      <c r="G70" s="367"/>
      <c r="H70" s="367"/>
      <c r="I70" s="367"/>
      <c r="J70" s="367"/>
      <c r="K70" s="367"/>
      <c r="L70" s="367"/>
      <c r="M70" s="367"/>
      <c r="N70" s="367"/>
      <c r="O70" s="367"/>
      <c r="P70" s="367"/>
      <c r="Q70" s="367"/>
      <c r="R70" s="367"/>
      <c r="S70" s="367"/>
      <c r="T70" s="367"/>
      <c r="U70" s="367"/>
      <c r="V70" s="367"/>
      <c r="W70" s="367"/>
    </row>
    <row r="71" spans="1:23">
      <c r="A71" s="372" t="s">
        <v>185</v>
      </c>
      <c r="B71" s="367"/>
      <c r="C71" s="367"/>
      <c r="D71" s="367"/>
      <c r="E71" s="367"/>
      <c r="F71" s="367"/>
      <c r="G71" s="367"/>
      <c r="H71" s="367"/>
      <c r="I71" s="367"/>
      <c r="J71" s="367"/>
      <c r="K71" s="367"/>
      <c r="L71" s="367"/>
      <c r="M71" s="367"/>
      <c r="N71" s="367"/>
      <c r="O71" s="367"/>
      <c r="P71" s="367"/>
      <c r="Q71" s="367"/>
      <c r="R71" s="367"/>
      <c r="S71" s="367"/>
      <c r="T71" s="367"/>
      <c r="U71" s="367"/>
      <c r="V71" s="367"/>
      <c r="W71" s="367"/>
    </row>
    <row r="72" spans="1:23">
      <c r="A72" s="372" t="s">
        <v>186</v>
      </c>
      <c r="B72" s="367"/>
      <c r="C72" s="367"/>
      <c r="D72" s="367"/>
      <c r="E72" s="367"/>
      <c r="F72" s="367"/>
      <c r="G72" s="367"/>
      <c r="H72" s="367"/>
      <c r="I72" s="367"/>
      <c r="J72" s="367"/>
      <c r="K72" s="367"/>
      <c r="L72" s="367"/>
      <c r="M72" s="367"/>
      <c r="N72" s="367"/>
      <c r="O72" s="367"/>
      <c r="P72" s="367"/>
      <c r="Q72" s="367"/>
      <c r="R72" s="367"/>
      <c r="S72" s="367"/>
      <c r="T72" s="367"/>
      <c r="U72" s="367"/>
      <c r="V72" s="367"/>
      <c r="W72" s="367"/>
    </row>
    <row r="73" spans="1:23">
      <c r="A73" s="372" t="s">
        <v>187</v>
      </c>
      <c r="B73" s="367"/>
      <c r="C73" s="367"/>
      <c r="D73" s="367"/>
      <c r="E73" s="367"/>
      <c r="F73" s="367"/>
      <c r="G73" s="367"/>
      <c r="H73" s="367"/>
      <c r="I73" s="367"/>
      <c r="J73" s="367"/>
      <c r="K73" s="367"/>
      <c r="L73" s="367"/>
      <c r="M73" s="367"/>
      <c r="N73" s="367"/>
      <c r="O73" s="367"/>
      <c r="P73" s="367"/>
      <c r="Q73" s="367"/>
      <c r="R73" s="367"/>
      <c r="S73" s="367"/>
      <c r="T73" s="367"/>
      <c r="U73" s="367"/>
      <c r="V73" s="367"/>
      <c r="W73" s="367"/>
    </row>
    <row r="74" spans="1:23">
      <c r="A74" s="372" t="s">
        <v>188</v>
      </c>
      <c r="B74" s="367"/>
      <c r="C74" s="367"/>
      <c r="D74" s="367"/>
      <c r="E74" s="367"/>
      <c r="F74" s="367"/>
      <c r="G74" s="367"/>
      <c r="H74" s="367"/>
      <c r="I74" s="367"/>
      <c r="J74" s="367"/>
      <c r="K74" s="367"/>
      <c r="L74" s="367"/>
      <c r="M74" s="367"/>
      <c r="N74" s="367"/>
      <c r="O74" s="367"/>
      <c r="P74" s="367"/>
      <c r="Q74" s="367"/>
      <c r="R74" s="367"/>
      <c r="S74" s="367"/>
      <c r="T74" s="367"/>
      <c r="U74" s="367"/>
      <c r="V74" s="367"/>
      <c r="W74" s="367"/>
    </row>
    <row r="75" spans="1:23">
      <c r="A75" s="372" t="s">
        <v>189</v>
      </c>
      <c r="B75" s="372"/>
      <c r="C75" s="372"/>
      <c r="D75" s="372"/>
      <c r="E75" s="372"/>
      <c r="F75" s="372"/>
      <c r="G75" s="372"/>
      <c r="H75" s="372"/>
      <c r="I75" s="372"/>
      <c r="J75" s="372"/>
      <c r="K75" s="372"/>
      <c r="L75" s="372"/>
      <c r="M75" s="372"/>
      <c r="N75" s="372"/>
      <c r="O75" s="372"/>
      <c r="P75" s="372"/>
      <c r="Q75" s="372"/>
      <c r="R75" s="372"/>
      <c r="S75" s="372"/>
      <c r="T75" s="372"/>
      <c r="U75" s="372"/>
      <c r="V75" s="372"/>
      <c r="W75" s="372"/>
    </row>
    <row r="76" spans="1:23">
      <c r="A76" s="375" t="s">
        <v>93</v>
      </c>
      <c r="B76" s="375"/>
      <c r="C76" s="375"/>
      <c r="D76" s="375"/>
      <c r="E76" s="375"/>
      <c r="F76" s="375"/>
      <c r="G76" s="375"/>
      <c r="H76" s="375"/>
      <c r="I76" s="375"/>
      <c r="J76" s="375"/>
      <c r="K76" s="375"/>
      <c r="L76" s="375"/>
      <c r="M76" s="375"/>
      <c r="N76" s="375"/>
      <c r="O76" s="375"/>
      <c r="P76" s="375"/>
      <c r="Q76" s="375"/>
      <c r="R76" s="375"/>
      <c r="S76" s="375"/>
      <c r="T76" s="375"/>
      <c r="U76" s="375"/>
      <c r="V76" s="68"/>
      <c r="W76" s="68"/>
    </row>
  </sheetData>
  <mergeCells count="27">
    <mergeCell ref="A74:W74"/>
    <mergeCell ref="A75:W75"/>
    <mergeCell ref="A76:U76"/>
    <mergeCell ref="A68:W68"/>
    <mergeCell ref="A69:W69"/>
    <mergeCell ref="A70:W70"/>
    <mergeCell ref="A71:W71"/>
    <mergeCell ref="A72:W72"/>
    <mergeCell ref="A73:W73"/>
    <mergeCell ref="A67:W67"/>
    <mergeCell ref="A56:W56"/>
    <mergeCell ref="A57:W57"/>
    <mergeCell ref="A58:W58"/>
    <mergeCell ref="A59:W59"/>
    <mergeCell ref="A60:U60"/>
    <mergeCell ref="A61:W61"/>
    <mergeCell ref="A62:W62"/>
    <mergeCell ref="A63:W63"/>
    <mergeCell ref="A64:W64"/>
    <mergeCell ref="A65:W65"/>
    <mergeCell ref="A66:W66"/>
    <mergeCell ref="A55:W55"/>
    <mergeCell ref="C1:L1"/>
    <mergeCell ref="N1:W1"/>
    <mergeCell ref="A52:W52"/>
    <mergeCell ref="A53:W53"/>
    <mergeCell ref="A54:W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DFE7-2F27-5E40-8B68-31A8EF170160}">
  <dimension ref="A1:W70"/>
  <sheetViews>
    <sheetView topLeftCell="E1" zoomScale="91" workbookViewId="0">
      <selection activeCell="N2" sqref="N2:V48"/>
    </sheetView>
  </sheetViews>
  <sheetFormatPr baseColWidth="10" defaultRowHeight="16"/>
  <sheetData>
    <row r="1" spans="1:23">
      <c r="A1" s="4"/>
      <c r="B1" s="4"/>
      <c r="C1" s="377" t="s">
        <v>108</v>
      </c>
      <c r="D1" s="377"/>
      <c r="E1" s="377"/>
      <c r="F1" s="377"/>
      <c r="G1" s="377"/>
      <c r="H1" s="377"/>
      <c r="I1" s="377"/>
      <c r="J1" s="377"/>
      <c r="K1" s="377"/>
      <c r="L1" s="377"/>
      <c r="M1" s="4"/>
      <c r="N1" s="377" t="s">
        <v>109</v>
      </c>
      <c r="O1" s="377"/>
      <c r="P1" s="377"/>
      <c r="Q1" s="377"/>
      <c r="R1" s="377"/>
      <c r="S1" s="377"/>
      <c r="T1" s="377"/>
      <c r="U1" s="377"/>
      <c r="V1" s="377"/>
      <c r="W1" s="377"/>
    </row>
    <row r="2" spans="1:23">
      <c r="A2" s="5" t="s">
        <v>110</v>
      </c>
      <c r="B2" s="6"/>
      <c r="C2" s="2" t="s">
        <v>95</v>
      </c>
      <c r="D2" s="7"/>
      <c r="E2" s="2" t="s">
        <v>96</v>
      </c>
      <c r="F2" s="7"/>
      <c r="G2" s="2" t="s">
        <v>97</v>
      </c>
      <c r="H2" s="7"/>
      <c r="I2" s="2" t="s">
        <v>98</v>
      </c>
      <c r="J2" s="7"/>
      <c r="K2" s="2" t="s">
        <v>111</v>
      </c>
      <c r="L2" s="7"/>
      <c r="M2" s="8"/>
      <c r="N2" s="2" t="s">
        <v>95</v>
      </c>
      <c r="O2" s="7"/>
      <c r="P2" s="2" t="s">
        <v>96</v>
      </c>
      <c r="Q2" s="7"/>
      <c r="R2" s="2" t="s">
        <v>97</v>
      </c>
      <c r="S2" s="7"/>
      <c r="T2" s="2" t="s">
        <v>98</v>
      </c>
      <c r="U2" s="7"/>
      <c r="V2" s="2" t="s">
        <v>111</v>
      </c>
      <c r="W2" s="7"/>
    </row>
    <row r="3" spans="1:23">
      <c r="A3" s="9" t="s">
        <v>7</v>
      </c>
      <c r="B3" s="10"/>
      <c r="C3" s="11">
        <v>2077</v>
      </c>
      <c r="D3" s="12"/>
      <c r="E3" s="11">
        <v>1307</v>
      </c>
      <c r="F3" s="12"/>
      <c r="G3" s="11">
        <v>1220</v>
      </c>
      <c r="H3" s="12" t="s">
        <v>8</v>
      </c>
      <c r="I3" s="11">
        <v>1280</v>
      </c>
      <c r="J3" s="12" t="s">
        <v>8</v>
      </c>
      <c r="K3" s="11">
        <v>1300</v>
      </c>
      <c r="L3" s="12"/>
      <c r="M3" s="13"/>
      <c r="N3" s="11">
        <v>1050</v>
      </c>
      <c r="O3" s="12"/>
      <c r="P3" s="11">
        <v>700</v>
      </c>
      <c r="Q3" s="12"/>
      <c r="R3" s="11">
        <v>671</v>
      </c>
      <c r="S3" s="12" t="s">
        <v>8</v>
      </c>
      <c r="T3" s="11">
        <v>704</v>
      </c>
      <c r="U3" s="12" t="s">
        <v>8</v>
      </c>
      <c r="V3" s="11">
        <v>715</v>
      </c>
      <c r="W3" s="12"/>
    </row>
    <row r="4" spans="1:23">
      <c r="A4" s="14" t="s">
        <v>112</v>
      </c>
      <c r="B4" s="10"/>
      <c r="C4" s="11">
        <v>342000</v>
      </c>
      <c r="D4" s="12"/>
      <c r="E4" s="11">
        <v>394000</v>
      </c>
      <c r="F4" s="12"/>
      <c r="G4" s="11">
        <v>433000</v>
      </c>
      <c r="H4" s="12"/>
      <c r="I4" s="11">
        <v>488000</v>
      </c>
      <c r="J4" s="12"/>
      <c r="K4" s="11">
        <v>521000</v>
      </c>
      <c r="L4" s="12"/>
      <c r="M4" s="13"/>
      <c r="N4" s="11">
        <v>209000</v>
      </c>
      <c r="O4" s="12"/>
      <c r="P4" s="11">
        <v>228000</v>
      </c>
      <c r="Q4" s="12"/>
      <c r="R4" s="11">
        <v>271000</v>
      </c>
      <c r="S4" s="12"/>
      <c r="T4" s="11">
        <v>277000</v>
      </c>
      <c r="U4" s="12"/>
      <c r="V4" s="11">
        <v>315000</v>
      </c>
      <c r="W4" s="12"/>
    </row>
    <row r="5" spans="1:23">
      <c r="A5" s="14" t="s">
        <v>11</v>
      </c>
      <c r="B5" s="10"/>
      <c r="C5" s="11">
        <v>2032.671</v>
      </c>
      <c r="D5" s="12"/>
      <c r="E5" s="11">
        <v>2002.1310000000001</v>
      </c>
      <c r="F5" s="12"/>
      <c r="G5" s="11">
        <v>2068.8530000000001</v>
      </c>
      <c r="H5" s="12"/>
      <c r="I5" s="11">
        <v>2206.91</v>
      </c>
      <c r="J5" s="12" t="s">
        <v>8</v>
      </c>
      <c r="K5" s="11">
        <v>2200</v>
      </c>
      <c r="L5" s="12"/>
      <c r="M5" s="13"/>
      <c r="N5" s="11">
        <v>650.45500000000004</v>
      </c>
      <c r="O5" s="12"/>
      <c r="P5" s="11">
        <v>640.68200000000002</v>
      </c>
      <c r="Q5" s="12"/>
      <c r="R5" s="11">
        <v>662.03300000000002</v>
      </c>
      <c r="S5" s="12"/>
      <c r="T5" s="11">
        <v>706.21100000000001</v>
      </c>
      <c r="U5" s="12" t="s">
        <v>8</v>
      </c>
      <c r="V5" s="11">
        <v>704</v>
      </c>
      <c r="W5" s="12"/>
    </row>
    <row r="6" spans="1:23">
      <c r="A6" s="14" t="s">
        <v>80</v>
      </c>
      <c r="B6" s="10"/>
      <c r="C6" s="11">
        <v>28.1</v>
      </c>
      <c r="D6" s="12"/>
      <c r="E6" s="15" t="s">
        <v>12</v>
      </c>
      <c r="F6" s="12"/>
      <c r="G6" s="11">
        <v>57.8</v>
      </c>
      <c r="H6" s="12"/>
      <c r="I6" s="11">
        <v>214.3</v>
      </c>
      <c r="J6" s="12" t="s">
        <v>8</v>
      </c>
      <c r="K6" s="11">
        <v>230</v>
      </c>
      <c r="L6" s="12" t="s">
        <v>78</v>
      </c>
      <c r="M6" s="13"/>
      <c r="N6" s="11">
        <v>14</v>
      </c>
      <c r="O6" s="12" t="s">
        <v>9</v>
      </c>
      <c r="P6" s="15" t="s">
        <v>12</v>
      </c>
      <c r="Q6" s="12"/>
      <c r="R6" s="11">
        <v>32.9</v>
      </c>
      <c r="S6" s="12"/>
      <c r="T6" s="11">
        <v>113.6</v>
      </c>
      <c r="U6" s="12" t="s">
        <v>8</v>
      </c>
      <c r="V6" s="11">
        <v>121.9</v>
      </c>
      <c r="W6" s="12" t="s">
        <v>78</v>
      </c>
    </row>
    <row r="7" spans="1:23">
      <c r="A7" s="16" t="s">
        <v>81</v>
      </c>
      <c r="B7" s="10"/>
      <c r="C7" s="11">
        <v>1481.73</v>
      </c>
      <c r="D7" s="12"/>
      <c r="E7" s="11">
        <v>1614.89</v>
      </c>
      <c r="F7" s="12"/>
      <c r="G7" s="11">
        <v>1401</v>
      </c>
      <c r="H7" s="12"/>
      <c r="I7" s="11">
        <v>1891</v>
      </c>
      <c r="J7" s="12" t="s">
        <v>8</v>
      </c>
      <c r="K7" s="11">
        <v>1900</v>
      </c>
      <c r="L7" s="12"/>
      <c r="M7" s="17"/>
      <c r="N7" s="11">
        <v>622</v>
      </c>
      <c r="O7" s="12"/>
      <c r="P7" s="11">
        <v>678</v>
      </c>
      <c r="Q7" s="12"/>
      <c r="R7" s="11">
        <v>588</v>
      </c>
      <c r="S7" s="12"/>
      <c r="T7" s="11">
        <v>794</v>
      </c>
      <c r="U7" s="12" t="s">
        <v>8</v>
      </c>
      <c r="V7" s="11">
        <v>798</v>
      </c>
      <c r="W7" s="12"/>
    </row>
    <row r="8" spans="1:23">
      <c r="A8" s="14" t="s">
        <v>15</v>
      </c>
      <c r="B8" s="10"/>
      <c r="C8" s="11">
        <v>350707</v>
      </c>
      <c r="D8" s="12"/>
      <c r="E8" s="11">
        <v>298528</v>
      </c>
      <c r="F8" s="12"/>
      <c r="G8" s="11">
        <v>372120.1</v>
      </c>
      <c r="H8" s="12"/>
      <c r="I8" s="11">
        <v>398130.81300000002</v>
      </c>
      <c r="J8" s="12" t="s">
        <v>8</v>
      </c>
      <c r="K8" s="11">
        <v>398150</v>
      </c>
      <c r="L8" s="12" t="s">
        <v>82</v>
      </c>
      <c r="M8" s="17"/>
      <c r="N8" s="11">
        <v>233514</v>
      </c>
      <c r="O8" s="12"/>
      <c r="P8" s="11">
        <v>198710</v>
      </c>
      <c r="Q8" s="12"/>
      <c r="R8" s="11">
        <v>247772</v>
      </c>
      <c r="S8" s="12"/>
      <c r="T8" s="11">
        <v>257600</v>
      </c>
      <c r="U8" s="12" t="s">
        <v>8</v>
      </c>
      <c r="V8" s="11">
        <v>257600</v>
      </c>
      <c r="W8" s="12" t="s">
        <v>82</v>
      </c>
    </row>
    <row r="9" spans="1:23">
      <c r="A9" s="18" t="s">
        <v>113</v>
      </c>
      <c r="B9" s="10"/>
      <c r="C9" s="11">
        <v>32102</v>
      </c>
      <c r="D9" s="12"/>
      <c r="E9" s="11">
        <v>31704</v>
      </c>
      <c r="F9" s="12"/>
      <c r="G9" s="11">
        <v>37001</v>
      </c>
      <c r="H9" s="12"/>
      <c r="I9" s="11">
        <v>35705</v>
      </c>
      <c r="J9" s="12" t="s">
        <v>8</v>
      </c>
      <c r="K9" s="11">
        <v>39427</v>
      </c>
      <c r="L9" s="12" t="s">
        <v>82</v>
      </c>
      <c r="M9" s="17"/>
      <c r="N9" s="11">
        <v>20300</v>
      </c>
      <c r="O9" s="12"/>
      <c r="P9" s="11">
        <v>20000</v>
      </c>
      <c r="Q9" s="12" t="s">
        <v>9</v>
      </c>
      <c r="R9" s="11">
        <v>23300</v>
      </c>
      <c r="S9" s="12" t="s">
        <v>9</v>
      </c>
      <c r="T9" s="11">
        <v>22500</v>
      </c>
      <c r="U9" s="12" t="s">
        <v>79</v>
      </c>
      <c r="V9" s="11">
        <v>24900</v>
      </c>
      <c r="W9" s="12"/>
    </row>
    <row r="10" spans="1:23">
      <c r="A10" s="14" t="s">
        <v>18</v>
      </c>
      <c r="B10" s="10"/>
      <c r="C10" s="11">
        <v>9315.58</v>
      </c>
      <c r="D10" s="12"/>
      <c r="E10" s="11">
        <v>8242.2999999999993</v>
      </c>
      <c r="F10" s="12"/>
      <c r="G10" s="11">
        <v>9129.5</v>
      </c>
      <c r="H10" s="12" t="s">
        <v>8</v>
      </c>
      <c r="I10" s="11">
        <v>12624.6</v>
      </c>
      <c r="J10" s="12" t="s">
        <v>8</v>
      </c>
      <c r="K10" s="11">
        <v>17330.099999999999</v>
      </c>
      <c r="L10" s="12" t="s">
        <v>78</v>
      </c>
      <c r="M10" s="17"/>
      <c r="N10" s="11">
        <v>5670</v>
      </c>
      <c r="O10" s="12"/>
      <c r="P10" s="11">
        <v>5006</v>
      </c>
      <c r="Q10" s="12"/>
      <c r="R10" s="11">
        <v>5852</v>
      </c>
      <c r="S10" s="12"/>
      <c r="T10" s="11">
        <v>7747</v>
      </c>
      <c r="U10" s="12"/>
      <c r="V10" s="11">
        <v>9429</v>
      </c>
      <c r="W10" s="12" t="s">
        <v>78</v>
      </c>
    </row>
    <row r="11" spans="1:23">
      <c r="A11" s="14" t="s">
        <v>114</v>
      </c>
      <c r="B11" s="10"/>
      <c r="C11" s="11">
        <v>824000</v>
      </c>
      <c r="D11" s="19"/>
      <c r="E11" s="11">
        <v>880000</v>
      </c>
      <c r="F11" s="19"/>
      <c r="G11" s="11">
        <v>1070000</v>
      </c>
      <c r="H11" s="19"/>
      <c r="I11" s="11">
        <v>1330000</v>
      </c>
      <c r="J11" s="19"/>
      <c r="K11" s="11">
        <v>1310000</v>
      </c>
      <c r="L11" s="19"/>
      <c r="M11" s="17"/>
      <c r="N11" s="11">
        <v>270000</v>
      </c>
      <c r="O11" s="19"/>
      <c r="P11" s="11">
        <v>280000</v>
      </c>
      <c r="Q11" s="19"/>
      <c r="R11" s="11">
        <v>332000</v>
      </c>
      <c r="S11" s="19"/>
      <c r="T11" s="11">
        <v>412000</v>
      </c>
      <c r="U11" s="19"/>
      <c r="V11" s="11">
        <v>393000</v>
      </c>
      <c r="W11" s="19"/>
    </row>
    <row r="12" spans="1:23">
      <c r="A12" s="18" t="s">
        <v>20</v>
      </c>
      <c r="B12" s="10"/>
      <c r="C12" s="11">
        <v>473.27300000000002</v>
      </c>
      <c r="D12" s="12"/>
      <c r="E12" s="11">
        <v>280.77199999999999</v>
      </c>
      <c r="F12" s="12"/>
      <c r="G12" s="11">
        <v>77.048000000000002</v>
      </c>
      <c r="H12" s="12"/>
      <c r="I12" s="11">
        <v>174.459</v>
      </c>
      <c r="J12" s="12"/>
      <c r="K12" s="11">
        <v>173.25700000000001</v>
      </c>
      <c r="L12" s="12" t="s">
        <v>78</v>
      </c>
      <c r="M12" s="17"/>
      <c r="N12" s="11">
        <v>300.173</v>
      </c>
      <c r="O12" s="12"/>
      <c r="P12" s="11">
        <v>154</v>
      </c>
      <c r="Q12" s="12" t="s">
        <v>9</v>
      </c>
      <c r="R12" s="11">
        <v>42.4</v>
      </c>
      <c r="S12" s="12" t="s">
        <v>9</v>
      </c>
      <c r="T12" s="11">
        <v>96</v>
      </c>
      <c r="U12" s="12" t="s">
        <v>9</v>
      </c>
      <c r="V12" s="11">
        <v>95.3</v>
      </c>
      <c r="W12" s="12"/>
    </row>
    <row r="13" spans="1:23">
      <c r="A13" s="18" t="s">
        <v>21</v>
      </c>
      <c r="B13" s="10"/>
      <c r="C13" s="11">
        <v>178</v>
      </c>
      <c r="D13" s="12" t="s">
        <v>8</v>
      </c>
      <c r="E13" s="11">
        <v>195</v>
      </c>
      <c r="F13" s="12"/>
      <c r="G13" s="11">
        <v>256</v>
      </c>
      <c r="H13" s="12"/>
      <c r="I13" s="11">
        <v>250</v>
      </c>
      <c r="J13" s="12" t="s">
        <v>79</v>
      </c>
      <c r="K13" s="11">
        <v>250</v>
      </c>
      <c r="L13" s="12"/>
      <c r="M13" s="17"/>
      <c r="N13" s="11">
        <v>89</v>
      </c>
      <c r="O13" s="12" t="s">
        <v>8</v>
      </c>
      <c r="P13" s="11">
        <v>97.5</v>
      </c>
      <c r="Q13" s="12" t="s">
        <v>8</v>
      </c>
      <c r="R13" s="11">
        <v>128</v>
      </c>
      <c r="S13" s="12" t="s">
        <v>8</v>
      </c>
      <c r="T13" s="11">
        <v>125</v>
      </c>
      <c r="U13" s="12" t="s">
        <v>79</v>
      </c>
      <c r="V13" s="11">
        <v>125</v>
      </c>
      <c r="W13" s="12"/>
    </row>
    <row r="14" spans="1:23">
      <c r="A14" s="18" t="s">
        <v>115</v>
      </c>
      <c r="B14" s="10"/>
      <c r="C14" s="11">
        <v>455.1</v>
      </c>
      <c r="D14" s="12"/>
      <c r="E14" s="11">
        <v>363.69900000000001</v>
      </c>
      <c r="F14" s="12"/>
      <c r="G14" s="11">
        <v>390.35300000000001</v>
      </c>
      <c r="H14" s="12"/>
      <c r="I14" s="11">
        <v>489.09100000000001</v>
      </c>
      <c r="J14" s="12" t="s">
        <v>8</v>
      </c>
      <c r="K14" s="11">
        <v>450</v>
      </c>
      <c r="L14" s="12"/>
      <c r="M14" s="17"/>
      <c r="N14" s="11">
        <v>47.786000000000001</v>
      </c>
      <c r="O14" s="12"/>
      <c r="P14" s="11">
        <v>38.188000000000002</v>
      </c>
      <c r="Q14" s="12"/>
      <c r="R14" s="11">
        <v>40.987000000000002</v>
      </c>
      <c r="S14" s="12"/>
      <c r="T14" s="11">
        <v>51.354999999999997</v>
      </c>
      <c r="U14" s="12" t="s">
        <v>8</v>
      </c>
      <c r="V14" s="11">
        <v>47.2</v>
      </c>
      <c r="W14" s="12"/>
    </row>
    <row r="15" spans="1:23">
      <c r="A15" s="18" t="s">
        <v>116</v>
      </c>
      <c r="B15" s="10"/>
      <c r="C15" s="11">
        <v>1500</v>
      </c>
      <c r="D15" s="19"/>
      <c r="E15" s="11">
        <v>1500</v>
      </c>
      <c r="F15" s="19"/>
      <c r="G15" s="11">
        <v>1500</v>
      </c>
      <c r="H15" s="19"/>
      <c r="I15" s="11">
        <v>1200</v>
      </c>
      <c r="J15" s="19"/>
      <c r="K15" s="11">
        <v>1200</v>
      </c>
      <c r="L15" s="19"/>
      <c r="M15" s="17"/>
      <c r="N15" s="11">
        <v>575</v>
      </c>
      <c r="O15" s="19"/>
      <c r="P15" s="11">
        <v>570</v>
      </c>
      <c r="Q15" s="19"/>
      <c r="R15" s="11">
        <v>570</v>
      </c>
      <c r="S15" s="19"/>
      <c r="T15" s="11">
        <v>560</v>
      </c>
      <c r="U15" s="19"/>
      <c r="V15" s="11">
        <v>550</v>
      </c>
      <c r="W15" s="19"/>
    </row>
    <row r="16" spans="1:23">
      <c r="A16" s="18" t="s">
        <v>23</v>
      </c>
      <c r="B16" s="10"/>
      <c r="C16" s="15" t="s">
        <v>41</v>
      </c>
      <c r="D16" s="12"/>
      <c r="E16" s="11">
        <v>5.4630000000000001</v>
      </c>
      <c r="F16" s="12"/>
      <c r="G16" s="11">
        <v>1.6040000000000001</v>
      </c>
      <c r="H16" s="12"/>
      <c r="I16" s="11">
        <v>1.1599999999999999</v>
      </c>
      <c r="J16" s="12" t="s">
        <v>8</v>
      </c>
      <c r="K16" s="11">
        <v>1.1599999999999999</v>
      </c>
      <c r="L16" s="12"/>
      <c r="M16" s="17"/>
      <c r="N16" s="15" t="s">
        <v>41</v>
      </c>
      <c r="O16" s="12"/>
      <c r="P16" s="11">
        <v>1.1000000000000001</v>
      </c>
      <c r="Q16" s="12"/>
      <c r="R16" s="15" t="s">
        <v>41</v>
      </c>
      <c r="S16" s="12"/>
      <c r="T16" s="15" t="s">
        <v>41</v>
      </c>
      <c r="U16" s="12"/>
      <c r="V16" s="15" t="s">
        <v>41</v>
      </c>
      <c r="W16" s="12"/>
    </row>
    <row r="17" spans="1:23">
      <c r="A17" s="18" t="s">
        <v>117</v>
      </c>
      <c r="B17" s="10"/>
      <c r="C17" s="11">
        <v>213033</v>
      </c>
      <c r="D17" s="12" t="s">
        <v>8</v>
      </c>
      <c r="E17" s="11">
        <v>217155</v>
      </c>
      <c r="F17" s="12" t="s">
        <v>8</v>
      </c>
      <c r="G17" s="11">
        <v>210006</v>
      </c>
      <c r="H17" s="12" t="s">
        <v>8</v>
      </c>
      <c r="I17" s="11">
        <v>177256</v>
      </c>
      <c r="J17" s="12" t="s">
        <v>8</v>
      </c>
      <c r="K17" s="11">
        <v>143710</v>
      </c>
      <c r="L17" s="12" t="s">
        <v>78</v>
      </c>
      <c r="M17" s="17"/>
      <c r="N17" s="11">
        <v>136341</v>
      </c>
      <c r="O17" s="12" t="s">
        <v>8</v>
      </c>
      <c r="P17" s="11">
        <v>138979</v>
      </c>
      <c r="Q17" s="12" t="s">
        <v>8</v>
      </c>
      <c r="R17" s="11">
        <v>134404</v>
      </c>
      <c r="S17" s="12" t="s">
        <v>8</v>
      </c>
      <c r="T17" s="11">
        <v>113444</v>
      </c>
      <c r="U17" s="12" t="s">
        <v>8</v>
      </c>
      <c r="V17" s="11">
        <v>91974</v>
      </c>
      <c r="W17" s="12" t="s">
        <v>78</v>
      </c>
    </row>
    <row r="18" spans="1:23">
      <c r="A18" s="18" t="s">
        <v>118</v>
      </c>
      <c r="B18" s="10"/>
      <c r="C18" s="11">
        <v>65</v>
      </c>
      <c r="D18" s="12"/>
      <c r="E18" s="11">
        <v>44.552</v>
      </c>
      <c r="F18" s="12" t="s">
        <v>78</v>
      </c>
      <c r="G18" s="11">
        <v>45.61</v>
      </c>
      <c r="H18" s="12" t="s">
        <v>78</v>
      </c>
      <c r="I18" s="11">
        <v>46</v>
      </c>
      <c r="J18" s="12"/>
      <c r="K18" s="11">
        <v>48</v>
      </c>
      <c r="L18" s="12"/>
      <c r="M18" s="17"/>
      <c r="N18" s="11">
        <v>37</v>
      </c>
      <c r="O18" s="12"/>
      <c r="P18" s="11">
        <v>25</v>
      </c>
      <c r="Q18" s="12"/>
      <c r="R18" s="11">
        <v>26</v>
      </c>
      <c r="S18" s="12"/>
      <c r="T18" s="11">
        <v>27</v>
      </c>
      <c r="U18" s="12"/>
      <c r="V18" s="11">
        <v>29</v>
      </c>
      <c r="W18" s="12"/>
    </row>
    <row r="19" spans="1:23">
      <c r="A19" s="18" t="s">
        <v>119</v>
      </c>
      <c r="B19" s="10"/>
      <c r="C19" s="11">
        <v>32000</v>
      </c>
      <c r="D19" s="12"/>
      <c r="E19" s="11">
        <v>34034</v>
      </c>
      <c r="F19" s="12" t="s">
        <v>100</v>
      </c>
      <c r="G19" s="11">
        <v>35000</v>
      </c>
      <c r="H19" s="12" t="s">
        <v>8</v>
      </c>
      <c r="I19" s="11">
        <v>35000</v>
      </c>
      <c r="J19" s="12" t="s">
        <v>8</v>
      </c>
      <c r="K19" s="11">
        <v>37000</v>
      </c>
      <c r="L19" s="19"/>
      <c r="M19" s="17"/>
      <c r="N19" s="11">
        <v>15000</v>
      </c>
      <c r="O19" s="20"/>
      <c r="P19" s="11">
        <v>16000</v>
      </c>
      <c r="Q19" s="12" t="s">
        <v>8</v>
      </c>
      <c r="R19" s="11">
        <v>16500</v>
      </c>
      <c r="S19" s="12" t="s">
        <v>8</v>
      </c>
      <c r="T19" s="11">
        <v>16500</v>
      </c>
      <c r="U19" s="12" t="s">
        <v>8</v>
      </c>
      <c r="V19" s="11">
        <v>17500</v>
      </c>
      <c r="W19" s="19"/>
    </row>
    <row r="20" spans="1:23">
      <c r="A20" s="18" t="s">
        <v>28</v>
      </c>
      <c r="B20" s="10"/>
      <c r="C20" s="11">
        <v>21486</v>
      </c>
      <c r="D20" s="12"/>
      <c r="E20" s="11">
        <v>22281.3</v>
      </c>
      <c r="F20" s="12"/>
      <c r="G20" s="11">
        <v>24229.1</v>
      </c>
      <c r="H20" s="12"/>
      <c r="I20" s="11">
        <v>24812.799999999999</v>
      </c>
      <c r="J20" s="12"/>
      <c r="K20" s="11">
        <v>25997.8</v>
      </c>
      <c r="L20" s="12" t="s">
        <v>78</v>
      </c>
      <c r="M20" s="17"/>
      <c r="N20" s="11">
        <v>12200</v>
      </c>
      <c r="O20" s="12" t="s">
        <v>9</v>
      </c>
      <c r="P20" s="11">
        <v>12700</v>
      </c>
      <c r="Q20" s="12" t="s">
        <v>9</v>
      </c>
      <c r="R20" s="11">
        <v>13800</v>
      </c>
      <c r="S20" s="12" t="s">
        <v>9</v>
      </c>
      <c r="T20" s="11">
        <v>14100</v>
      </c>
      <c r="U20" s="12" t="s">
        <v>9</v>
      </c>
      <c r="V20" s="11">
        <v>14800</v>
      </c>
      <c r="W20" s="12"/>
    </row>
    <row r="21" spans="1:23">
      <c r="A21" s="18" t="s">
        <v>120</v>
      </c>
      <c r="B21" s="10"/>
      <c r="C21" s="11">
        <v>0.7</v>
      </c>
      <c r="D21" s="12"/>
      <c r="E21" s="11">
        <v>7</v>
      </c>
      <c r="F21" s="12" t="s">
        <v>8</v>
      </c>
      <c r="G21" s="11">
        <v>11</v>
      </c>
      <c r="H21" s="12"/>
      <c r="I21" s="11">
        <v>11</v>
      </c>
      <c r="J21" s="19"/>
      <c r="K21" s="11">
        <v>11</v>
      </c>
      <c r="L21" s="19"/>
      <c r="M21" s="17"/>
      <c r="N21" s="15" t="s">
        <v>41</v>
      </c>
      <c r="O21" s="12"/>
      <c r="P21" s="11">
        <v>4.2</v>
      </c>
      <c r="Q21" s="12" t="s">
        <v>8</v>
      </c>
      <c r="R21" s="11">
        <v>6.6</v>
      </c>
      <c r="S21" s="12"/>
      <c r="T21" s="11">
        <v>6.6</v>
      </c>
      <c r="U21" s="19"/>
      <c r="V21" s="11">
        <v>6.6</v>
      </c>
      <c r="W21" s="19"/>
    </row>
    <row r="22" spans="1:23">
      <c r="A22" s="18" t="s">
        <v>73</v>
      </c>
      <c r="B22" s="10"/>
      <c r="C22" s="11">
        <v>5136</v>
      </c>
      <c r="D22" s="12" t="s">
        <v>78</v>
      </c>
      <c r="E22" s="11">
        <v>5300</v>
      </c>
      <c r="F22" s="12"/>
      <c r="G22" s="11">
        <v>5300</v>
      </c>
      <c r="H22" s="19"/>
      <c r="I22" s="11">
        <v>5300</v>
      </c>
      <c r="J22" s="19"/>
      <c r="K22" s="11">
        <v>5300</v>
      </c>
      <c r="L22" s="19"/>
      <c r="M22" s="17"/>
      <c r="N22" s="11">
        <v>1488</v>
      </c>
      <c r="O22" s="12" t="s">
        <v>78</v>
      </c>
      <c r="P22" s="11">
        <v>1500</v>
      </c>
      <c r="Q22" s="12"/>
      <c r="R22" s="11">
        <v>1500</v>
      </c>
      <c r="S22" s="19"/>
      <c r="T22" s="11">
        <v>1500</v>
      </c>
      <c r="U22" s="19"/>
      <c r="V22" s="11">
        <v>1500</v>
      </c>
      <c r="W22" s="19"/>
    </row>
    <row r="23" spans="1:23">
      <c r="A23" s="18" t="s">
        <v>31</v>
      </c>
      <c r="B23" s="10"/>
      <c r="C23" s="11">
        <v>366</v>
      </c>
      <c r="D23" s="12"/>
      <c r="E23" s="11">
        <v>455.40499999999997</v>
      </c>
      <c r="F23" s="12"/>
      <c r="G23" s="11">
        <v>512.64200000000005</v>
      </c>
      <c r="H23" s="12"/>
      <c r="I23" s="11">
        <v>542</v>
      </c>
      <c r="J23" s="12" t="s">
        <v>8</v>
      </c>
      <c r="K23" s="11">
        <v>500</v>
      </c>
      <c r="L23" s="12"/>
      <c r="M23" s="17"/>
      <c r="N23" s="11">
        <v>205</v>
      </c>
      <c r="O23" s="12"/>
      <c r="P23" s="11">
        <v>274</v>
      </c>
      <c r="Q23" s="12"/>
      <c r="R23" s="11">
        <v>308</v>
      </c>
      <c r="S23" s="12"/>
      <c r="T23" s="11">
        <v>320</v>
      </c>
      <c r="U23" s="12" t="s">
        <v>8</v>
      </c>
      <c r="V23" s="11">
        <v>300</v>
      </c>
      <c r="W23" s="12"/>
    </row>
    <row r="24" spans="1:23">
      <c r="A24" s="18" t="s">
        <v>32</v>
      </c>
      <c r="B24" s="10"/>
      <c r="C24" s="11">
        <v>981.93200000000002</v>
      </c>
      <c r="D24" s="12"/>
      <c r="E24" s="11">
        <v>1470.1859999999999</v>
      </c>
      <c r="F24" s="12"/>
      <c r="G24" s="11">
        <v>3465.895</v>
      </c>
      <c r="H24" s="12"/>
      <c r="I24" s="11">
        <v>7695.5770000000002</v>
      </c>
      <c r="J24" s="12"/>
      <c r="K24" s="11">
        <v>8000</v>
      </c>
      <c r="L24" s="12"/>
      <c r="M24" s="17"/>
      <c r="N24" s="11">
        <v>560</v>
      </c>
      <c r="O24" s="12" t="s">
        <v>9</v>
      </c>
      <c r="P24" s="11">
        <v>838</v>
      </c>
      <c r="Q24" s="12" t="s">
        <v>9</v>
      </c>
      <c r="R24" s="11">
        <v>1970</v>
      </c>
      <c r="S24" s="12" t="s">
        <v>79</v>
      </c>
      <c r="T24" s="11">
        <v>4380</v>
      </c>
      <c r="U24" s="12" t="s">
        <v>9</v>
      </c>
      <c r="V24" s="11">
        <v>4500</v>
      </c>
      <c r="W24" s="12"/>
    </row>
    <row r="25" spans="1:23">
      <c r="A25" s="18" t="s">
        <v>33</v>
      </c>
      <c r="B25" s="10"/>
      <c r="C25" s="11">
        <v>11296</v>
      </c>
      <c r="D25" s="12" t="s">
        <v>8</v>
      </c>
      <c r="E25" s="11">
        <v>10524</v>
      </c>
      <c r="F25" s="12" t="s">
        <v>8</v>
      </c>
      <c r="G25" s="11">
        <v>11534</v>
      </c>
      <c r="H25" s="12" t="s">
        <v>8</v>
      </c>
      <c r="I25" s="11">
        <v>11160</v>
      </c>
      <c r="J25" s="12" t="s">
        <v>8</v>
      </c>
      <c r="K25" s="11">
        <v>12000</v>
      </c>
      <c r="L25" s="12"/>
      <c r="M25" s="17"/>
      <c r="N25" s="11">
        <v>7340</v>
      </c>
      <c r="O25" s="12" t="s">
        <v>8</v>
      </c>
      <c r="P25" s="11">
        <v>6840</v>
      </c>
      <c r="Q25" s="12" t="s">
        <v>8</v>
      </c>
      <c r="R25" s="11">
        <v>7500</v>
      </c>
      <c r="S25" s="12" t="s">
        <v>8</v>
      </c>
      <c r="T25" s="11">
        <v>7250</v>
      </c>
      <c r="U25" s="12" t="s">
        <v>8</v>
      </c>
      <c r="V25" s="11">
        <v>7200</v>
      </c>
      <c r="W25" s="12"/>
    </row>
    <row r="26" spans="1:23">
      <c r="A26" s="18" t="s">
        <v>121</v>
      </c>
      <c r="B26" s="10"/>
      <c r="C26" s="11">
        <v>11688.107</v>
      </c>
      <c r="D26" s="12"/>
      <c r="E26" s="11">
        <v>11677.494000000001</v>
      </c>
      <c r="F26" s="12"/>
      <c r="G26" s="11">
        <v>13998.272999999999</v>
      </c>
      <c r="H26" s="12"/>
      <c r="I26" s="11">
        <v>14482.05</v>
      </c>
      <c r="J26" s="12"/>
      <c r="K26" s="11">
        <v>14500</v>
      </c>
      <c r="L26" s="12"/>
      <c r="M26" s="17"/>
      <c r="N26" s="11">
        <v>7013</v>
      </c>
      <c r="O26" s="12"/>
      <c r="P26" s="11">
        <v>7006.5</v>
      </c>
      <c r="Q26" s="12"/>
      <c r="R26" s="11">
        <v>8400</v>
      </c>
      <c r="S26" s="12" t="s">
        <v>9</v>
      </c>
      <c r="T26" s="11">
        <v>7722.424</v>
      </c>
      <c r="U26" s="12"/>
      <c r="V26" s="11">
        <v>7750</v>
      </c>
      <c r="W26" s="12"/>
    </row>
    <row r="27" spans="1:23">
      <c r="A27" s="18" t="s">
        <v>102</v>
      </c>
      <c r="B27" s="10"/>
      <c r="C27" s="11">
        <v>1387.4</v>
      </c>
      <c r="D27" s="12"/>
      <c r="E27" s="11">
        <v>1379</v>
      </c>
      <c r="F27" s="12"/>
      <c r="G27" s="11">
        <v>3203.2</v>
      </c>
      <c r="H27" s="12"/>
      <c r="I27" s="11">
        <v>5678.3</v>
      </c>
      <c r="J27" s="12" t="s">
        <v>8</v>
      </c>
      <c r="K27" s="11">
        <v>7561.4</v>
      </c>
      <c r="L27" s="12" t="s">
        <v>78</v>
      </c>
      <c r="M27" s="17"/>
      <c r="N27" s="11">
        <v>888</v>
      </c>
      <c r="O27" s="12"/>
      <c r="P27" s="11">
        <v>883</v>
      </c>
      <c r="Q27" s="12"/>
      <c r="R27" s="11">
        <v>2050</v>
      </c>
      <c r="S27" s="12"/>
      <c r="T27" s="11">
        <v>3600</v>
      </c>
      <c r="U27" s="12" t="s">
        <v>8</v>
      </c>
      <c r="V27" s="11">
        <v>4760</v>
      </c>
      <c r="W27" s="12"/>
    </row>
    <row r="28" spans="1:23">
      <c r="A28" s="18" t="s">
        <v>34</v>
      </c>
      <c r="B28" s="10"/>
      <c r="C28" s="11">
        <v>22.9</v>
      </c>
      <c r="D28" s="12" t="s">
        <v>8</v>
      </c>
      <c r="E28" s="11">
        <v>30.523</v>
      </c>
      <c r="F28" s="12"/>
      <c r="G28" s="11">
        <v>44.664999999999999</v>
      </c>
      <c r="H28" s="12"/>
      <c r="I28" s="11">
        <v>78.926000000000002</v>
      </c>
      <c r="J28" s="12" t="s">
        <v>8</v>
      </c>
      <c r="K28" s="11">
        <v>78.900000000000006</v>
      </c>
      <c r="L28" s="12"/>
      <c r="M28" s="17"/>
      <c r="N28" s="11">
        <v>12.366</v>
      </c>
      <c r="O28" s="12" t="s">
        <v>8</v>
      </c>
      <c r="P28" s="11">
        <v>15.87071388069857</v>
      </c>
      <c r="Q28" s="12"/>
      <c r="R28" s="11">
        <v>24.119</v>
      </c>
      <c r="S28" s="12" t="s">
        <v>8</v>
      </c>
      <c r="T28" s="11">
        <v>42.62</v>
      </c>
      <c r="U28" s="12" t="s">
        <v>8</v>
      </c>
      <c r="V28" s="11">
        <v>42.6</v>
      </c>
      <c r="W28" s="12"/>
    </row>
    <row r="29" spans="1:23">
      <c r="A29" s="18" t="s">
        <v>122</v>
      </c>
      <c r="B29" s="10"/>
      <c r="C29" s="11">
        <v>2020</v>
      </c>
      <c r="D29" s="12"/>
      <c r="E29" s="11">
        <v>2092</v>
      </c>
      <c r="F29" s="12"/>
      <c r="G29" s="11">
        <v>2439</v>
      </c>
      <c r="H29" s="12"/>
      <c r="I29" s="11">
        <v>2357</v>
      </c>
      <c r="J29" s="12" t="s">
        <v>8</v>
      </c>
      <c r="K29" s="11">
        <v>2400</v>
      </c>
      <c r="L29" s="12"/>
      <c r="M29" s="17"/>
      <c r="N29" s="11">
        <v>1200</v>
      </c>
      <c r="O29" s="12" t="s">
        <v>9</v>
      </c>
      <c r="P29" s="11">
        <v>1200</v>
      </c>
      <c r="Q29" s="12" t="s">
        <v>9</v>
      </c>
      <c r="R29" s="11">
        <v>1400</v>
      </c>
      <c r="S29" s="12" t="s">
        <v>9</v>
      </c>
      <c r="T29" s="11">
        <v>1300</v>
      </c>
      <c r="U29" s="12" t="s">
        <v>9</v>
      </c>
      <c r="V29" s="11">
        <v>1320</v>
      </c>
      <c r="W29" s="12"/>
    </row>
    <row r="30" spans="1:23">
      <c r="A30" s="18" t="s">
        <v>123</v>
      </c>
      <c r="B30" s="10"/>
      <c r="C30" s="11">
        <v>61.779000000000003</v>
      </c>
      <c r="D30" s="12" t="s">
        <v>78</v>
      </c>
      <c r="E30" s="11">
        <v>99</v>
      </c>
      <c r="F30" s="12" t="s">
        <v>8</v>
      </c>
      <c r="G30" s="11">
        <v>63</v>
      </c>
      <c r="H30" s="12" t="s">
        <v>8</v>
      </c>
      <c r="I30" s="11">
        <v>70</v>
      </c>
      <c r="J30" s="12" t="s">
        <v>8</v>
      </c>
      <c r="K30" s="11">
        <v>70</v>
      </c>
      <c r="L30" s="12"/>
      <c r="M30" s="17"/>
      <c r="N30" s="11">
        <v>23</v>
      </c>
      <c r="O30" s="19"/>
      <c r="P30" s="11">
        <v>37</v>
      </c>
      <c r="Q30" s="12" t="s">
        <v>8</v>
      </c>
      <c r="R30" s="11">
        <v>20</v>
      </c>
      <c r="S30" s="12" t="s">
        <v>8</v>
      </c>
      <c r="T30" s="11">
        <v>26</v>
      </c>
      <c r="U30" s="12" t="s">
        <v>8</v>
      </c>
      <c r="V30" s="11">
        <v>26</v>
      </c>
      <c r="W30" s="12"/>
    </row>
    <row r="31" spans="1:23">
      <c r="A31" s="18" t="s">
        <v>35</v>
      </c>
      <c r="B31" s="10"/>
      <c r="C31" s="11">
        <v>1635</v>
      </c>
      <c r="D31" s="12" t="s">
        <v>8</v>
      </c>
      <c r="E31" s="11">
        <v>1678</v>
      </c>
      <c r="F31" s="12" t="s">
        <v>8</v>
      </c>
      <c r="G31" s="11">
        <v>3292</v>
      </c>
      <c r="H31" s="12" t="s">
        <v>8</v>
      </c>
      <c r="I31" s="11">
        <v>3427</v>
      </c>
      <c r="J31" s="12" t="s">
        <v>8</v>
      </c>
      <c r="K31" s="11">
        <v>3911</v>
      </c>
      <c r="L31" s="12" t="s">
        <v>78</v>
      </c>
      <c r="M31" s="17"/>
      <c r="N31" s="11">
        <v>839</v>
      </c>
      <c r="O31" s="12" t="s">
        <v>8</v>
      </c>
      <c r="P31" s="11">
        <v>891</v>
      </c>
      <c r="Q31" s="12" t="s">
        <v>8</v>
      </c>
      <c r="R31" s="11">
        <v>1926</v>
      </c>
      <c r="S31" s="12" t="s">
        <v>8</v>
      </c>
      <c r="T31" s="11">
        <v>2047</v>
      </c>
      <c r="U31" s="12" t="s">
        <v>8</v>
      </c>
      <c r="V31" s="11">
        <v>2405</v>
      </c>
      <c r="W31" s="12" t="s">
        <v>78</v>
      </c>
    </row>
    <row r="32" spans="1:23">
      <c r="A32" s="18" t="s">
        <v>124</v>
      </c>
      <c r="B32" s="10"/>
      <c r="C32" s="11">
        <v>250</v>
      </c>
      <c r="D32" s="12"/>
      <c r="E32" s="11">
        <v>333</v>
      </c>
      <c r="F32" s="12" t="s">
        <v>100</v>
      </c>
      <c r="G32" s="11">
        <v>418</v>
      </c>
      <c r="H32" s="12" t="s">
        <v>100</v>
      </c>
      <c r="I32" s="11">
        <v>400</v>
      </c>
      <c r="J32" s="12" t="s">
        <v>8</v>
      </c>
      <c r="K32" s="11">
        <v>380</v>
      </c>
      <c r="L32" s="19"/>
      <c r="M32" s="17"/>
      <c r="N32" s="11">
        <v>125</v>
      </c>
      <c r="O32" s="12"/>
      <c r="P32" s="11">
        <v>167</v>
      </c>
      <c r="Q32" s="12" t="s">
        <v>8</v>
      </c>
      <c r="R32" s="11">
        <v>210</v>
      </c>
      <c r="S32" s="12" t="s">
        <v>8</v>
      </c>
      <c r="T32" s="11">
        <v>200</v>
      </c>
      <c r="U32" s="12" t="s">
        <v>8</v>
      </c>
      <c r="V32" s="11">
        <v>190</v>
      </c>
      <c r="W32" s="19"/>
    </row>
    <row r="33" spans="1:23">
      <c r="A33" s="18" t="s">
        <v>36</v>
      </c>
      <c r="B33" s="10"/>
      <c r="C33" s="11">
        <v>7823</v>
      </c>
      <c r="D33" s="12"/>
      <c r="E33" s="11">
        <v>6698</v>
      </c>
      <c r="F33" s="12"/>
      <c r="G33" s="11">
        <v>9160</v>
      </c>
      <c r="H33" s="12"/>
      <c r="I33" s="11">
        <v>10626</v>
      </c>
      <c r="J33" s="12" t="s">
        <v>8</v>
      </c>
      <c r="K33" s="11">
        <v>10132</v>
      </c>
      <c r="L33" s="12" t="s">
        <v>78</v>
      </c>
      <c r="M33" s="17"/>
      <c r="N33" s="11">
        <v>5244</v>
      </c>
      <c r="O33" s="12"/>
      <c r="P33" s="11">
        <v>4490</v>
      </c>
      <c r="Q33" s="12"/>
      <c r="R33" s="11">
        <v>6140</v>
      </c>
      <c r="S33" s="12"/>
      <c r="T33" s="11">
        <v>7123</v>
      </c>
      <c r="U33" s="12" t="s">
        <v>8</v>
      </c>
      <c r="V33" s="11">
        <v>6792</v>
      </c>
      <c r="W33" s="12" t="s">
        <v>78</v>
      </c>
    </row>
    <row r="34" spans="1:23">
      <c r="A34" s="18" t="s">
        <v>125</v>
      </c>
      <c r="B34" s="10"/>
      <c r="C34" s="11">
        <v>14</v>
      </c>
      <c r="D34" s="12"/>
      <c r="E34" s="11">
        <v>14</v>
      </c>
      <c r="F34" s="19"/>
      <c r="G34" s="11">
        <v>14</v>
      </c>
      <c r="H34" s="19"/>
      <c r="I34" s="11">
        <v>14</v>
      </c>
      <c r="J34" s="19"/>
      <c r="K34" s="11">
        <v>14</v>
      </c>
      <c r="L34" s="19"/>
      <c r="M34" s="17"/>
      <c r="N34" s="11">
        <v>10</v>
      </c>
      <c r="O34" s="12"/>
      <c r="P34" s="11">
        <v>10</v>
      </c>
      <c r="Q34" s="19"/>
      <c r="R34" s="11">
        <v>10</v>
      </c>
      <c r="S34" s="19"/>
      <c r="T34" s="11">
        <v>10</v>
      </c>
      <c r="U34" s="19"/>
      <c r="V34" s="11">
        <v>10</v>
      </c>
      <c r="W34" s="19"/>
    </row>
    <row r="35" spans="1:23">
      <c r="A35" s="18" t="s">
        <v>37</v>
      </c>
      <c r="B35" s="10"/>
      <c r="C35" s="11">
        <v>99900</v>
      </c>
      <c r="D35" s="12"/>
      <c r="E35" s="11">
        <v>92000</v>
      </c>
      <c r="F35" s="12"/>
      <c r="G35" s="11">
        <v>95900</v>
      </c>
      <c r="H35" s="12" t="s">
        <v>8</v>
      </c>
      <c r="I35" s="11">
        <v>104000</v>
      </c>
      <c r="J35" s="12" t="s">
        <v>8</v>
      </c>
      <c r="K35" s="11">
        <v>105000</v>
      </c>
      <c r="L35" s="12"/>
      <c r="M35" s="17"/>
      <c r="N35" s="11">
        <v>57800</v>
      </c>
      <c r="O35" s="12" t="s">
        <v>9</v>
      </c>
      <c r="P35" s="11">
        <v>53200</v>
      </c>
      <c r="Q35" s="12" t="s">
        <v>9</v>
      </c>
      <c r="R35" s="11">
        <v>56581</v>
      </c>
      <c r="S35" s="12" t="s">
        <v>8</v>
      </c>
      <c r="T35" s="11">
        <v>61360</v>
      </c>
      <c r="U35" s="12" t="s">
        <v>8</v>
      </c>
      <c r="V35" s="11">
        <v>64000</v>
      </c>
      <c r="W35" s="12"/>
    </row>
    <row r="36" spans="1:23">
      <c r="A36" s="18" t="s">
        <v>38</v>
      </c>
      <c r="B36" s="10"/>
      <c r="C36" s="11">
        <v>392</v>
      </c>
      <c r="D36" s="12"/>
      <c r="E36" s="15" t="s">
        <v>12</v>
      </c>
      <c r="F36" s="12"/>
      <c r="G36" s="15" t="s">
        <v>12</v>
      </c>
      <c r="H36" s="19"/>
      <c r="I36" s="15" t="s">
        <v>12</v>
      </c>
      <c r="J36" s="19"/>
      <c r="K36" s="15" t="s">
        <v>12</v>
      </c>
      <c r="L36" s="19"/>
      <c r="M36" s="17"/>
      <c r="N36" s="11">
        <v>133</v>
      </c>
      <c r="O36" s="12"/>
      <c r="P36" s="15" t="s">
        <v>12</v>
      </c>
      <c r="Q36" s="12"/>
      <c r="R36" s="15" t="s">
        <v>12</v>
      </c>
      <c r="S36" s="19"/>
      <c r="T36" s="15" t="s">
        <v>12</v>
      </c>
      <c r="U36" s="19"/>
      <c r="V36" s="15" t="s">
        <v>12</v>
      </c>
      <c r="W36" s="19"/>
    </row>
    <row r="37" spans="1:23">
      <c r="A37" s="18" t="s">
        <v>126</v>
      </c>
      <c r="B37" s="10"/>
      <c r="C37" s="11">
        <v>48982.536999999997</v>
      </c>
      <c r="D37" s="12"/>
      <c r="E37" s="11">
        <v>55313.053</v>
      </c>
      <c r="F37" s="12"/>
      <c r="G37" s="11">
        <v>58709.33</v>
      </c>
      <c r="H37" s="12"/>
      <c r="I37" s="11">
        <v>58056.896999999997</v>
      </c>
      <c r="J37" s="12" t="s">
        <v>8</v>
      </c>
      <c r="K37" s="11">
        <v>63000</v>
      </c>
      <c r="L37" s="12"/>
      <c r="M37" s="17"/>
      <c r="N37" s="11">
        <v>30800</v>
      </c>
      <c r="O37" s="12"/>
      <c r="P37" s="11">
        <v>34800</v>
      </c>
      <c r="Q37" s="12"/>
      <c r="R37" s="11">
        <v>36900</v>
      </c>
      <c r="S37" s="12" t="s">
        <v>8</v>
      </c>
      <c r="T37" s="11">
        <v>36500</v>
      </c>
      <c r="U37" s="12" t="s">
        <v>8</v>
      </c>
      <c r="V37" s="11">
        <v>40500</v>
      </c>
      <c r="W37" s="12"/>
    </row>
    <row r="38" spans="1:23">
      <c r="A38" s="18" t="s">
        <v>39</v>
      </c>
      <c r="B38" s="10"/>
      <c r="C38" s="11">
        <v>27713</v>
      </c>
      <c r="D38" s="12" t="s">
        <v>8</v>
      </c>
      <c r="E38" s="11">
        <v>20389</v>
      </c>
      <c r="F38" s="12" t="s">
        <v>8</v>
      </c>
      <c r="G38" s="11">
        <v>27917</v>
      </c>
      <c r="H38" s="12" t="s">
        <v>8</v>
      </c>
      <c r="I38" s="11">
        <v>22968</v>
      </c>
      <c r="J38" s="12" t="s">
        <v>8</v>
      </c>
      <c r="K38" s="11">
        <v>23000</v>
      </c>
      <c r="L38" s="13"/>
      <c r="M38" s="17"/>
      <c r="N38" s="11">
        <v>16628</v>
      </c>
      <c r="O38" s="12" t="s">
        <v>8</v>
      </c>
      <c r="P38" s="11">
        <v>12233</v>
      </c>
      <c r="Q38" s="12" t="s">
        <v>8</v>
      </c>
      <c r="R38" s="11">
        <v>16750</v>
      </c>
      <c r="S38" s="12" t="s">
        <v>8</v>
      </c>
      <c r="T38" s="11">
        <v>15159</v>
      </c>
      <c r="U38" s="12" t="s">
        <v>8</v>
      </c>
      <c r="V38" s="11">
        <v>15000</v>
      </c>
      <c r="W38" s="13"/>
    </row>
    <row r="39" spans="1:23">
      <c r="A39" s="18" t="s">
        <v>40</v>
      </c>
      <c r="B39" s="10"/>
      <c r="C39" s="11">
        <v>2029.1</v>
      </c>
      <c r="D39" s="12"/>
      <c r="E39" s="11">
        <v>1400.8</v>
      </c>
      <c r="F39" s="12"/>
      <c r="G39" s="11">
        <v>969.93700000000001</v>
      </c>
      <c r="H39" s="12"/>
      <c r="I39" s="11">
        <v>970</v>
      </c>
      <c r="J39" s="12" t="s">
        <v>8</v>
      </c>
      <c r="K39" s="11">
        <v>970</v>
      </c>
      <c r="L39" s="12"/>
      <c r="M39" s="17"/>
      <c r="N39" s="11">
        <v>855</v>
      </c>
      <c r="O39" s="20"/>
      <c r="P39" s="11">
        <v>800</v>
      </c>
      <c r="Q39" s="20"/>
      <c r="R39" s="11">
        <v>485</v>
      </c>
      <c r="S39" s="12"/>
      <c r="T39" s="11">
        <v>485</v>
      </c>
      <c r="U39" s="12" t="s">
        <v>8</v>
      </c>
      <c r="V39" s="11">
        <v>485</v>
      </c>
      <c r="W39" s="12"/>
    </row>
    <row r="40" spans="1:23">
      <c r="A40" s="21" t="s">
        <v>42</v>
      </c>
      <c r="B40" s="10"/>
      <c r="C40" s="11">
        <v>211</v>
      </c>
      <c r="D40" s="12"/>
      <c r="E40" s="11">
        <v>151</v>
      </c>
      <c r="F40" s="12"/>
      <c r="G40" s="11">
        <v>180.5</v>
      </c>
      <c r="H40" s="12"/>
      <c r="I40" s="11">
        <v>171</v>
      </c>
      <c r="J40" s="12" t="s">
        <v>8</v>
      </c>
      <c r="K40" s="11">
        <v>175</v>
      </c>
      <c r="L40" s="12"/>
      <c r="M40" s="22"/>
      <c r="N40" s="11">
        <v>110</v>
      </c>
      <c r="O40" s="12"/>
      <c r="P40" s="11">
        <v>79</v>
      </c>
      <c r="Q40" s="12"/>
      <c r="R40" s="11">
        <v>94</v>
      </c>
      <c r="S40" s="12" t="s">
        <v>8</v>
      </c>
      <c r="T40" s="11">
        <v>79</v>
      </c>
      <c r="U40" s="12" t="s">
        <v>8</v>
      </c>
      <c r="V40" s="11">
        <v>87</v>
      </c>
      <c r="W40" s="12"/>
    </row>
    <row r="41" spans="1:23">
      <c r="A41" s="23" t="s">
        <v>45</v>
      </c>
      <c r="B41" s="10"/>
      <c r="C41" s="11">
        <v>4697</v>
      </c>
      <c r="D41" s="20"/>
      <c r="E41" s="11">
        <v>3855</v>
      </c>
      <c r="F41" s="20" t="s">
        <v>8</v>
      </c>
      <c r="G41" s="11">
        <v>5814</v>
      </c>
      <c r="H41" s="20" t="s">
        <v>8</v>
      </c>
      <c r="I41" s="11">
        <v>6450</v>
      </c>
      <c r="J41" s="20" t="s">
        <v>8</v>
      </c>
      <c r="K41" s="11">
        <v>6300</v>
      </c>
      <c r="L41" s="20"/>
      <c r="M41" s="22"/>
      <c r="N41" s="11">
        <v>2500</v>
      </c>
      <c r="O41" s="20" t="s">
        <v>9</v>
      </c>
      <c r="P41" s="11">
        <v>2000</v>
      </c>
      <c r="Q41" s="20" t="s">
        <v>79</v>
      </c>
      <c r="R41" s="11">
        <v>3000</v>
      </c>
      <c r="S41" s="20" t="s">
        <v>79</v>
      </c>
      <c r="T41" s="11">
        <v>3400</v>
      </c>
      <c r="U41" s="20" t="s">
        <v>79</v>
      </c>
      <c r="V41" s="11">
        <v>3300</v>
      </c>
      <c r="W41" s="20"/>
    </row>
    <row r="42" spans="1:23">
      <c r="A42" s="23" t="s">
        <v>49</v>
      </c>
      <c r="B42" s="24"/>
      <c r="C42" s="25">
        <v>72688</v>
      </c>
      <c r="D42" s="26"/>
      <c r="E42" s="25">
        <v>66476</v>
      </c>
      <c r="F42" s="26"/>
      <c r="G42" s="25">
        <v>78170.7</v>
      </c>
      <c r="H42" s="26"/>
      <c r="I42" s="25">
        <v>80580.800000000003</v>
      </c>
      <c r="J42" s="26"/>
      <c r="K42" s="25">
        <v>81966.399999999994</v>
      </c>
      <c r="L42" s="26" t="s">
        <v>78</v>
      </c>
      <c r="M42" s="21"/>
      <c r="N42" s="25">
        <v>40000</v>
      </c>
      <c r="O42" s="27" t="s">
        <v>9</v>
      </c>
      <c r="P42" s="25">
        <v>36600</v>
      </c>
      <c r="Q42" s="27" t="s">
        <v>9</v>
      </c>
      <c r="R42" s="25">
        <v>43000</v>
      </c>
      <c r="S42" s="26" t="s">
        <v>9</v>
      </c>
      <c r="T42" s="25">
        <v>44300</v>
      </c>
      <c r="U42" s="26" t="s">
        <v>9</v>
      </c>
      <c r="V42" s="25">
        <v>45100</v>
      </c>
      <c r="W42" s="26"/>
    </row>
    <row r="43" spans="1:23">
      <c r="A43" s="18" t="s">
        <v>50</v>
      </c>
      <c r="B43" s="28"/>
      <c r="C43" s="29" t="s">
        <v>41</v>
      </c>
      <c r="D43" s="30"/>
      <c r="E43" s="29" t="s">
        <v>12</v>
      </c>
      <c r="F43" s="31"/>
      <c r="G43" s="29" t="s">
        <v>12</v>
      </c>
      <c r="H43" s="31"/>
      <c r="I43" s="29" t="s">
        <v>12</v>
      </c>
      <c r="J43" s="31"/>
      <c r="K43" s="29" t="s">
        <v>12</v>
      </c>
      <c r="L43" s="31"/>
      <c r="M43" s="32"/>
      <c r="N43" s="29" t="s">
        <v>41</v>
      </c>
      <c r="O43" s="30"/>
      <c r="P43" s="29" t="s">
        <v>12</v>
      </c>
      <c r="Q43" s="31"/>
      <c r="R43" s="29" t="s">
        <v>12</v>
      </c>
      <c r="S43" s="31"/>
      <c r="T43" s="29" t="s">
        <v>12</v>
      </c>
      <c r="U43" s="31"/>
      <c r="V43" s="29" t="s">
        <v>12</v>
      </c>
      <c r="W43" s="31"/>
    </row>
    <row r="44" spans="1:23">
      <c r="A44" s="18" t="s">
        <v>51</v>
      </c>
      <c r="B44" s="10"/>
      <c r="C44" s="11">
        <v>53600</v>
      </c>
      <c r="D44" s="12"/>
      <c r="E44" s="11">
        <v>26700</v>
      </c>
      <c r="F44" s="12"/>
      <c r="G44" s="11">
        <v>49900</v>
      </c>
      <c r="H44" s="12"/>
      <c r="I44" s="11">
        <v>54700</v>
      </c>
      <c r="J44" s="12"/>
      <c r="K44" s="11">
        <v>54000</v>
      </c>
      <c r="L44" s="12"/>
      <c r="M44" s="22"/>
      <c r="N44" s="11">
        <v>33800</v>
      </c>
      <c r="O44" s="12"/>
      <c r="P44" s="11">
        <v>16600</v>
      </c>
      <c r="Q44" s="12"/>
      <c r="R44" s="11">
        <v>31300</v>
      </c>
      <c r="S44" s="12"/>
      <c r="T44" s="11">
        <v>34300</v>
      </c>
      <c r="U44" s="12"/>
      <c r="V44" s="11">
        <v>33400</v>
      </c>
      <c r="W44" s="12"/>
    </row>
    <row r="45" spans="1:23">
      <c r="A45" s="3" t="s">
        <v>127</v>
      </c>
      <c r="B45" s="10"/>
      <c r="C45" s="11">
        <v>20650</v>
      </c>
      <c r="D45" s="20" t="s">
        <v>78</v>
      </c>
      <c r="E45" s="11">
        <v>24100</v>
      </c>
      <c r="F45" s="20" t="s">
        <v>8</v>
      </c>
      <c r="G45" s="11">
        <v>22200</v>
      </c>
      <c r="H45" s="20" t="s">
        <v>8</v>
      </c>
      <c r="I45" s="11">
        <v>27000</v>
      </c>
      <c r="J45" s="20" t="s">
        <v>8</v>
      </c>
      <c r="K45" s="11">
        <v>27000</v>
      </c>
      <c r="L45" s="20"/>
      <c r="M45" s="22"/>
      <c r="N45" s="11">
        <v>13423</v>
      </c>
      <c r="O45" s="12" t="s">
        <v>78</v>
      </c>
      <c r="P45" s="11">
        <v>15200</v>
      </c>
      <c r="Q45" s="20" t="s">
        <v>8</v>
      </c>
      <c r="R45" s="11">
        <v>14000</v>
      </c>
      <c r="S45" s="20" t="s">
        <v>8</v>
      </c>
      <c r="T45" s="11">
        <v>17000</v>
      </c>
      <c r="U45" s="20" t="s">
        <v>8</v>
      </c>
      <c r="V45" s="11">
        <v>17000</v>
      </c>
      <c r="W45" s="20"/>
    </row>
    <row r="46" spans="1:23">
      <c r="A46" s="18" t="s">
        <v>86</v>
      </c>
      <c r="B46" s="10"/>
      <c r="C46" s="11">
        <v>2587.9245283018868</v>
      </c>
      <c r="D46" s="20" t="s">
        <v>8</v>
      </c>
      <c r="E46" s="11">
        <v>3593.3962264150941</v>
      </c>
      <c r="F46" s="20" t="s">
        <v>8</v>
      </c>
      <c r="G46" s="11">
        <v>3720.9433962264147</v>
      </c>
      <c r="H46" s="20" t="s">
        <v>8</v>
      </c>
      <c r="I46" s="11">
        <v>4168.3018867924529</v>
      </c>
      <c r="J46" s="20" t="s">
        <v>8</v>
      </c>
      <c r="K46" s="11">
        <v>4170</v>
      </c>
      <c r="L46" s="22"/>
      <c r="M46" s="22"/>
      <c r="N46" s="11">
        <v>1371.6</v>
      </c>
      <c r="O46" s="20" t="s">
        <v>8</v>
      </c>
      <c r="P46" s="11">
        <v>1904.5</v>
      </c>
      <c r="Q46" s="20" t="s">
        <v>8</v>
      </c>
      <c r="R46" s="11">
        <v>1972.1</v>
      </c>
      <c r="S46" s="20" t="s">
        <v>8</v>
      </c>
      <c r="T46" s="11">
        <v>2209.1999999999998</v>
      </c>
      <c r="U46" s="20" t="s">
        <v>8</v>
      </c>
      <c r="V46" s="11">
        <v>2210</v>
      </c>
      <c r="W46" s="22"/>
    </row>
    <row r="47" spans="1:23">
      <c r="A47" s="14" t="s">
        <v>53</v>
      </c>
      <c r="B47" s="10"/>
      <c r="C47" s="11">
        <v>3</v>
      </c>
      <c r="D47" s="12" t="s">
        <v>8</v>
      </c>
      <c r="E47" s="15" t="s">
        <v>12</v>
      </c>
      <c r="F47" s="12"/>
      <c r="G47" s="15" t="s">
        <v>12</v>
      </c>
      <c r="H47" s="12"/>
      <c r="I47" s="15" t="s">
        <v>12</v>
      </c>
      <c r="J47" s="12"/>
      <c r="K47" s="15" t="s">
        <v>12</v>
      </c>
      <c r="L47" s="12"/>
      <c r="M47" s="22"/>
      <c r="N47" s="11">
        <v>1</v>
      </c>
      <c r="O47" s="12" t="s">
        <v>8</v>
      </c>
      <c r="P47" s="15" t="s">
        <v>12</v>
      </c>
      <c r="Q47" s="12"/>
      <c r="R47" s="15" t="s">
        <v>12</v>
      </c>
      <c r="S47" s="12"/>
      <c r="T47" s="15" t="s">
        <v>12</v>
      </c>
      <c r="U47" s="12"/>
      <c r="V47" s="15" t="s">
        <v>12</v>
      </c>
      <c r="W47" s="12"/>
    </row>
    <row r="48" spans="1:23">
      <c r="A48" s="33" t="s">
        <v>54</v>
      </c>
      <c r="B48" s="34"/>
      <c r="C48" s="35">
        <v>2210000</v>
      </c>
      <c r="D48" s="36" t="s">
        <v>8</v>
      </c>
      <c r="E48" s="35">
        <v>2230000</v>
      </c>
      <c r="F48" s="36" t="s">
        <v>8</v>
      </c>
      <c r="G48" s="35">
        <v>2590000</v>
      </c>
      <c r="H48" s="36"/>
      <c r="I48" s="35">
        <v>2930000</v>
      </c>
      <c r="J48" s="36" t="s">
        <v>8</v>
      </c>
      <c r="K48" s="35">
        <v>2930000</v>
      </c>
      <c r="L48" s="36"/>
      <c r="M48" s="37"/>
      <c r="N48" s="35">
        <v>1130000</v>
      </c>
      <c r="O48" s="36"/>
      <c r="P48" s="35">
        <v>1100000</v>
      </c>
      <c r="Q48" s="36" t="s">
        <v>8</v>
      </c>
      <c r="R48" s="35">
        <v>1280000</v>
      </c>
      <c r="S48" s="36" t="s">
        <v>8</v>
      </c>
      <c r="T48" s="35">
        <v>1370000</v>
      </c>
      <c r="U48" s="36" t="s">
        <v>8</v>
      </c>
      <c r="V48" s="35">
        <v>1390000</v>
      </c>
      <c r="W48" s="36"/>
    </row>
    <row r="49" spans="1:23">
      <c r="A49" s="378" t="s">
        <v>128</v>
      </c>
      <c r="B49" s="378"/>
      <c r="C49" s="378"/>
      <c r="D49" s="378"/>
      <c r="E49" s="378"/>
      <c r="F49" s="378"/>
      <c r="G49" s="378"/>
      <c r="H49" s="378"/>
      <c r="I49" s="378"/>
      <c r="J49" s="378"/>
      <c r="K49" s="378"/>
      <c r="L49" s="378"/>
      <c r="M49" s="378"/>
      <c r="N49" s="378"/>
      <c r="O49" s="378"/>
      <c r="P49" s="378"/>
      <c r="Q49" s="378"/>
      <c r="R49" s="378"/>
      <c r="S49" s="378"/>
      <c r="T49" s="378"/>
      <c r="U49" s="378"/>
      <c r="V49" s="378"/>
      <c r="W49" s="378"/>
    </row>
    <row r="50" spans="1:23">
      <c r="A50" s="376" t="s">
        <v>129</v>
      </c>
      <c r="B50" s="376"/>
      <c r="C50" s="376"/>
      <c r="D50" s="376"/>
      <c r="E50" s="376"/>
      <c r="F50" s="376"/>
      <c r="G50" s="376"/>
      <c r="H50" s="376"/>
      <c r="I50" s="376"/>
      <c r="J50" s="376"/>
      <c r="K50" s="376"/>
      <c r="L50" s="376"/>
      <c r="M50" s="376"/>
      <c r="N50" s="376"/>
      <c r="O50" s="376"/>
      <c r="P50" s="376"/>
      <c r="Q50" s="376"/>
      <c r="R50" s="376"/>
      <c r="S50" s="376"/>
      <c r="T50" s="376"/>
      <c r="U50" s="376"/>
      <c r="V50" s="376"/>
      <c r="W50" s="376"/>
    </row>
    <row r="51" spans="1:23">
      <c r="A51" s="376" t="s">
        <v>130</v>
      </c>
      <c r="B51" s="376"/>
      <c r="C51" s="376"/>
      <c r="D51" s="376"/>
      <c r="E51" s="376"/>
      <c r="F51" s="376"/>
      <c r="G51" s="376"/>
      <c r="H51" s="376"/>
      <c r="I51" s="376"/>
      <c r="J51" s="376"/>
      <c r="K51" s="376"/>
      <c r="L51" s="376"/>
      <c r="M51" s="376"/>
      <c r="N51" s="376"/>
      <c r="O51" s="376"/>
      <c r="P51" s="376"/>
      <c r="Q51" s="376"/>
      <c r="R51" s="376"/>
      <c r="S51" s="376"/>
      <c r="T51" s="376"/>
      <c r="U51" s="376"/>
      <c r="V51" s="376"/>
      <c r="W51" s="376"/>
    </row>
    <row r="52" spans="1:23">
      <c r="A52" s="379" t="s">
        <v>131</v>
      </c>
      <c r="B52" s="379"/>
      <c r="C52" s="379"/>
      <c r="D52" s="379"/>
      <c r="E52" s="379"/>
      <c r="F52" s="379"/>
      <c r="G52" s="379"/>
      <c r="H52" s="379"/>
      <c r="I52" s="379"/>
      <c r="J52" s="379"/>
      <c r="K52" s="379"/>
      <c r="L52" s="379"/>
      <c r="M52" s="379"/>
      <c r="N52" s="379"/>
      <c r="O52" s="379"/>
      <c r="P52" s="379"/>
      <c r="Q52" s="379"/>
      <c r="R52" s="379"/>
      <c r="S52" s="379"/>
      <c r="T52" s="379"/>
      <c r="U52" s="379"/>
      <c r="V52" s="379"/>
      <c r="W52" s="379"/>
    </row>
    <row r="53" spans="1:23">
      <c r="A53" s="380" t="s">
        <v>104</v>
      </c>
      <c r="B53" s="380"/>
      <c r="C53" s="380"/>
      <c r="D53" s="380"/>
      <c r="E53" s="380"/>
      <c r="F53" s="380"/>
      <c r="G53" s="380"/>
      <c r="H53" s="380"/>
      <c r="I53" s="380"/>
      <c r="J53" s="380"/>
      <c r="K53" s="380"/>
      <c r="L53" s="380"/>
      <c r="M53" s="380"/>
      <c r="N53" s="380"/>
      <c r="O53" s="380"/>
      <c r="P53" s="380"/>
      <c r="Q53" s="380"/>
      <c r="R53" s="380"/>
      <c r="S53" s="380"/>
      <c r="T53" s="380"/>
      <c r="U53" s="380"/>
      <c r="V53" s="380"/>
      <c r="W53" s="380"/>
    </row>
    <row r="54" spans="1:23">
      <c r="A54" s="376" t="s">
        <v>132</v>
      </c>
      <c r="B54" s="376"/>
      <c r="C54" s="376"/>
      <c r="D54" s="376"/>
      <c r="E54" s="376"/>
      <c r="F54" s="376"/>
      <c r="G54" s="376"/>
      <c r="H54" s="376"/>
      <c r="I54" s="376"/>
      <c r="J54" s="376"/>
      <c r="K54" s="376"/>
      <c r="L54" s="376"/>
      <c r="M54" s="376"/>
      <c r="N54" s="376"/>
      <c r="O54" s="376"/>
      <c r="P54" s="376"/>
      <c r="Q54" s="376"/>
      <c r="R54" s="376"/>
      <c r="S54" s="376"/>
      <c r="T54" s="376"/>
      <c r="U54" s="376"/>
      <c r="V54" s="376"/>
      <c r="W54" s="376"/>
    </row>
    <row r="55" spans="1:23">
      <c r="A55" s="381" t="s">
        <v>105</v>
      </c>
      <c r="B55" s="381"/>
      <c r="C55" s="381"/>
      <c r="D55" s="381"/>
      <c r="E55" s="381"/>
      <c r="F55" s="381"/>
      <c r="G55" s="381"/>
      <c r="H55" s="381"/>
      <c r="I55" s="381"/>
      <c r="J55" s="381"/>
      <c r="K55" s="381"/>
      <c r="L55" s="381"/>
      <c r="M55" s="381"/>
      <c r="N55" s="381"/>
      <c r="O55" s="381"/>
      <c r="P55" s="381"/>
      <c r="Q55" s="381"/>
      <c r="R55" s="381"/>
      <c r="S55" s="381"/>
      <c r="T55" s="381"/>
      <c r="U55" s="381"/>
      <c r="V55" s="381"/>
      <c r="W55" s="381"/>
    </row>
    <row r="56" spans="1:23">
      <c r="A56" s="376" t="s">
        <v>133</v>
      </c>
      <c r="B56" s="376"/>
      <c r="C56" s="376"/>
      <c r="D56" s="376"/>
      <c r="E56" s="376"/>
      <c r="F56" s="376"/>
      <c r="G56" s="376"/>
      <c r="H56" s="376"/>
      <c r="I56" s="376"/>
      <c r="J56" s="376"/>
      <c r="K56" s="376"/>
      <c r="L56" s="376"/>
      <c r="M56" s="376"/>
      <c r="N56" s="376"/>
      <c r="O56" s="376"/>
      <c r="P56" s="376"/>
      <c r="Q56" s="376"/>
      <c r="R56" s="376"/>
      <c r="S56" s="376"/>
      <c r="T56" s="376"/>
      <c r="U56" s="376"/>
      <c r="V56" s="376"/>
      <c r="W56" s="376"/>
    </row>
    <row r="57" spans="1:23">
      <c r="A57" s="376" t="s">
        <v>134</v>
      </c>
      <c r="B57" s="376"/>
      <c r="C57" s="376"/>
      <c r="D57" s="376"/>
      <c r="E57" s="376"/>
      <c r="F57" s="376"/>
      <c r="G57" s="376"/>
      <c r="H57" s="376"/>
      <c r="I57" s="376"/>
      <c r="J57" s="376"/>
      <c r="K57" s="376"/>
      <c r="L57" s="376"/>
      <c r="M57" s="376"/>
      <c r="N57" s="376"/>
      <c r="O57" s="376"/>
      <c r="P57" s="376"/>
      <c r="Q57" s="376"/>
      <c r="R57" s="376"/>
      <c r="S57" s="376"/>
      <c r="T57" s="376"/>
      <c r="U57" s="376"/>
      <c r="V57" s="376"/>
      <c r="W57" s="376"/>
    </row>
    <row r="58" spans="1:23">
      <c r="A58" s="376" t="s">
        <v>135</v>
      </c>
      <c r="B58" s="376"/>
      <c r="C58" s="376"/>
      <c r="D58" s="376"/>
      <c r="E58" s="376"/>
      <c r="F58" s="376"/>
      <c r="G58" s="376"/>
      <c r="H58" s="376"/>
      <c r="I58" s="376"/>
      <c r="J58" s="376"/>
      <c r="K58" s="376"/>
      <c r="L58" s="376"/>
      <c r="M58" s="376"/>
      <c r="N58" s="376"/>
      <c r="O58" s="376"/>
      <c r="P58" s="376"/>
      <c r="Q58" s="376"/>
      <c r="R58" s="376"/>
      <c r="S58" s="376"/>
      <c r="T58" s="376"/>
      <c r="U58" s="376"/>
      <c r="V58" s="376"/>
      <c r="W58" s="376"/>
    </row>
    <row r="59" spans="1:23">
      <c r="A59" s="376" t="s">
        <v>136</v>
      </c>
      <c r="B59" s="376"/>
      <c r="C59" s="376"/>
      <c r="D59" s="376"/>
      <c r="E59" s="376"/>
      <c r="F59" s="376"/>
      <c r="G59" s="376"/>
      <c r="H59" s="376"/>
      <c r="I59" s="376"/>
      <c r="J59" s="376"/>
      <c r="K59" s="376"/>
      <c r="L59" s="376"/>
      <c r="M59" s="376"/>
      <c r="N59" s="376"/>
      <c r="O59" s="376"/>
      <c r="P59" s="376"/>
      <c r="Q59" s="376"/>
      <c r="R59" s="376"/>
      <c r="S59" s="376"/>
      <c r="T59" s="376"/>
      <c r="U59" s="376"/>
      <c r="V59" s="376"/>
      <c r="W59" s="376"/>
    </row>
    <row r="60" spans="1:23">
      <c r="A60" s="381" t="s">
        <v>107</v>
      </c>
      <c r="B60" s="381"/>
      <c r="C60" s="381"/>
      <c r="D60" s="381"/>
      <c r="E60" s="381"/>
      <c r="F60" s="381"/>
      <c r="G60" s="381"/>
      <c r="H60" s="381"/>
      <c r="I60" s="381"/>
      <c r="J60" s="381"/>
      <c r="K60" s="381"/>
      <c r="L60" s="381"/>
      <c r="M60" s="381"/>
      <c r="N60" s="381"/>
      <c r="O60" s="381"/>
      <c r="P60" s="381"/>
      <c r="Q60" s="381"/>
      <c r="R60" s="381"/>
      <c r="S60" s="381"/>
      <c r="T60" s="381"/>
      <c r="U60" s="381"/>
      <c r="V60" s="381"/>
      <c r="W60" s="381"/>
    </row>
    <row r="61" spans="1:23">
      <c r="A61" s="376" t="s">
        <v>137</v>
      </c>
      <c r="B61" s="376"/>
      <c r="C61" s="376"/>
      <c r="D61" s="376"/>
      <c r="E61" s="376"/>
      <c r="F61" s="376"/>
      <c r="G61" s="376"/>
      <c r="H61" s="376"/>
      <c r="I61" s="376"/>
      <c r="J61" s="376"/>
      <c r="K61" s="376"/>
      <c r="L61" s="376"/>
      <c r="M61" s="376"/>
      <c r="N61" s="376"/>
      <c r="O61" s="376"/>
      <c r="P61" s="376"/>
      <c r="Q61" s="376"/>
      <c r="R61" s="376"/>
      <c r="S61" s="376"/>
      <c r="T61" s="376"/>
      <c r="U61" s="376"/>
      <c r="V61" s="376"/>
      <c r="W61" s="376"/>
    </row>
    <row r="62" spans="1:23">
      <c r="A62" s="376" t="s">
        <v>138</v>
      </c>
      <c r="B62" s="376"/>
      <c r="C62" s="376"/>
      <c r="D62" s="376"/>
      <c r="E62" s="376"/>
      <c r="F62" s="376"/>
      <c r="G62" s="376"/>
      <c r="H62" s="376"/>
      <c r="I62" s="376"/>
      <c r="J62" s="376"/>
      <c r="K62" s="376"/>
      <c r="L62" s="376"/>
      <c r="M62" s="376"/>
      <c r="N62" s="376"/>
      <c r="O62" s="376"/>
      <c r="P62" s="376"/>
      <c r="Q62" s="376"/>
      <c r="R62" s="376"/>
      <c r="S62" s="376"/>
      <c r="T62" s="376"/>
      <c r="U62" s="376"/>
      <c r="V62" s="376"/>
      <c r="W62" s="376"/>
    </row>
    <row r="63" spans="1:23">
      <c r="A63" s="376" t="s">
        <v>139</v>
      </c>
      <c r="B63" s="376"/>
      <c r="C63" s="376"/>
      <c r="D63" s="376"/>
      <c r="E63" s="376"/>
      <c r="F63" s="376"/>
      <c r="G63" s="376"/>
      <c r="H63" s="376"/>
      <c r="I63" s="376"/>
      <c r="J63" s="376"/>
      <c r="K63" s="376"/>
      <c r="L63" s="376"/>
      <c r="M63" s="376"/>
      <c r="N63" s="376"/>
      <c r="O63" s="376"/>
      <c r="P63" s="376"/>
      <c r="Q63" s="376"/>
      <c r="R63" s="376"/>
      <c r="S63" s="376"/>
      <c r="T63" s="376"/>
      <c r="U63" s="376"/>
      <c r="V63" s="376"/>
      <c r="W63" s="376"/>
    </row>
    <row r="64" spans="1:23">
      <c r="A64" s="376" t="s">
        <v>140</v>
      </c>
      <c r="B64" s="376"/>
      <c r="C64" s="376"/>
      <c r="D64" s="376"/>
      <c r="E64" s="376"/>
      <c r="F64" s="376"/>
      <c r="G64" s="376"/>
      <c r="H64" s="376"/>
      <c r="I64" s="376"/>
      <c r="J64" s="376"/>
      <c r="K64" s="376"/>
      <c r="L64" s="376"/>
      <c r="M64" s="376"/>
      <c r="N64" s="376"/>
      <c r="O64" s="376"/>
      <c r="P64" s="376"/>
      <c r="Q64" s="376"/>
      <c r="R64" s="376"/>
      <c r="S64" s="376"/>
      <c r="T64" s="376"/>
      <c r="U64" s="376"/>
      <c r="V64" s="376"/>
      <c r="W64" s="376"/>
    </row>
    <row r="65" spans="1:23">
      <c r="A65" s="376" t="s">
        <v>141</v>
      </c>
      <c r="B65" s="376"/>
      <c r="C65" s="376"/>
      <c r="D65" s="376"/>
      <c r="E65" s="376"/>
      <c r="F65" s="376"/>
      <c r="G65" s="376"/>
      <c r="H65" s="376"/>
      <c r="I65" s="376"/>
      <c r="J65" s="376"/>
      <c r="K65" s="376"/>
      <c r="L65" s="376"/>
      <c r="M65" s="376"/>
      <c r="N65" s="376"/>
      <c r="O65" s="376"/>
      <c r="P65" s="376"/>
      <c r="Q65" s="376"/>
      <c r="R65" s="376"/>
      <c r="S65" s="376"/>
      <c r="T65" s="376"/>
      <c r="U65" s="376"/>
      <c r="V65" s="376"/>
      <c r="W65" s="376"/>
    </row>
    <row r="66" spans="1:23">
      <c r="A66" s="376" t="s">
        <v>142</v>
      </c>
      <c r="B66" s="376"/>
      <c r="C66" s="376"/>
      <c r="D66" s="376"/>
      <c r="E66" s="376"/>
      <c r="F66" s="376"/>
      <c r="G66" s="376"/>
      <c r="H66" s="376"/>
      <c r="I66" s="376"/>
      <c r="J66" s="376"/>
      <c r="K66" s="376"/>
      <c r="L66" s="376"/>
      <c r="M66" s="376"/>
      <c r="N66" s="376"/>
      <c r="O66" s="376"/>
      <c r="P66" s="376"/>
      <c r="Q66" s="376"/>
      <c r="R66" s="376"/>
      <c r="S66" s="376"/>
      <c r="T66" s="376"/>
      <c r="U66" s="376"/>
      <c r="V66" s="376"/>
      <c r="W66" s="376"/>
    </row>
    <row r="67" spans="1:23">
      <c r="A67" s="376" t="s">
        <v>143</v>
      </c>
      <c r="B67" s="376"/>
      <c r="C67" s="376"/>
      <c r="D67" s="376"/>
      <c r="E67" s="376"/>
      <c r="F67" s="376"/>
      <c r="G67" s="376"/>
      <c r="H67" s="376"/>
      <c r="I67" s="376"/>
      <c r="J67" s="376"/>
      <c r="K67" s="376"/>
      <c r="L67" s="376"/>
      <c r="M67" s="376"/>
      <c r="N67" s="376"/>
      <c r="O67" s="376"/>
      <c r="P67" s="376"/>
      <c r="Q67" s="376"/>
      <c r="R67" s="376"/>
      <c r="S67" s="376"/>
      <c r="T67" s="376"/>
      <c r="U67" s="376"/>
      <c r="V67" s="376"/>
      <c r="W67" s="376"/>
    </row>
    <row r="68" spans="1:23">
      <c r="A68" s="376" t="s">
        <v>144</v>
      </c>
      <c r="B68" s="376"/>
      <c r="C68" s="376"/>
      <c r="D68" s="376"/>
      <c r="E68" s="376"/>
      <c r="F68" s="376"/>
      <c r="G68" s="376"/>
      <c r="H68" s="376"/>
      <c r="I68" s="376"/>
      <c r="J68" s="376"/>
      <c r="K68" s="376"/>
      <c r="L68" s="376"/>
      <c r="M68" s="376"/>
      <c r="N68" s="376"/>
      <c r="O68" s="376"/>
      <c r="P68" s="376"/>
      <c r="Q68" s="376"/>
      <c r="R68" s="376"/>
      <c r="S68" s="376"/>
      <c r="T68" s="376"/>
      <c r="U68" s="376"/>
      <c r="V68" s="376"/>
      <c r="W68" s="376"/>
    </row>
    <row r="69" spans="1:23">
      <c r="A69" s="376" t="s">
        <v>145</v>
      </c>
      <c r="B69" s="376"/>
      <c r="C69" s="376"/>
      <c r="D69" s="376"/>
      <c r="E69" s="376"/>
      <c r="F69" s="376"/>
      <c r="G69" s="376"/>
      <c r="H69" s="376"/>
      <c r="I69" s="376"/>
      <c r="J69" s="376"/>
      <c r="K69" s="376"/>
      <c r="L69" s="376"/>
      <c r="M69" s="376"/>
      <c r="N69" s="376"/>
      <c r="O69" s="376"/>
      <c r="P69" s="376"/>
      <c r="Q69" s="376"/>
      <c r="R69" s="376"/>
      <c r="S69" s="376"/>
      <c r="T69" s="376"/>
      <c r="U69" s="376"/>
      <c r="V69" s="376"/>
      <c r="W69" s="376"/>
    </row>
    <row r="70" spans="1:23">
      <c r="A70" s="376" t="s">
        <v>146</v>
      </c>
      <c r="B70" s="376"/>
      <c r="C70" s="376"/>
      <c r="D70" s="376"/>
      <c r="E70" s="376"/>
      <c r="F70" s="376"/>
      <c r="G70" s="376"/>
      <c r="H70" s="376"/>
      <c r="I70" s="376"/>
      <c r="J70" s="376"/>
      <c r="K70" s="376"/>
      <c r="L70" s="376"/>
      <c r="M70" s="376"/>
      <c r="N70" s="376"/>
      <c r="O70" s="376"/>
      <c r="P70" s="376"/>
      <c r="Q70" s="376"/>
      <c r="R70" s="376"/>
      <c r="S70" s="376"/>
      <c r="T70" s="376"/>
      <c r="U70" s="376"/>
      <c r="V70" s="376"/>
      <c r="W70" s="376"/>
    </row>
  </sheetData>
  <mergeCells count="24">
    <mergeCell ref="A70:W70"/>
    <mergeCell ref="A59:W59"/>
    <mergeCell ref="A60:W60"/>
    <mergeCell ref="A61:W61"/>
    <mergeCell ref="A62:W62"/>
    <mergeCell ref="A63:W63"/>
    <mergeCell ref="A64:W64"/>
    <mergeCell ref="A65:W65"/>
    <mergeCell ref="A66:W66"/>
    <mergeCell ref="A67:W67"/>
    <mergeCell ref="A68:W68"/>
    <mergeCell ref="A69:W69"/>
    <mergeCell ref="A58:W58"/>
    <mergeCell ref="C1:L1"/>
    <mergeCell ref="N1:W1"/>
    <mergeCell ref="A49:W49"/>
    <mergeCell ref="A50:W50"/>
    <mergeCell ref="A51:W51"/>
    <mergeCell ref="A52:W52"/>
    <mergeCell ref="A53:W53"/>
    <mergeCell ref="A54:W54"/>
    <mergeCell ref="A55:W55"/>
    <mergeCell ref="A56:W56"/>
    <mergeCell ref="A57:W5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324B-8B1B-E441-83CE-A9FB82835150}">
  <dimension ref="A1:X62"/>
  <sheetViews>
    <sheetView topLeftCell="C35" zoomScale="160" zoomScaleNormal="100" workbookViewId="0">
      <selection activeCell="A50" sqref="A50:XFD50"/>
    </sheetView>
  </sheetViews>
  <sheetFormatPr baseColWidth="10" defaultColWidth="6.1640625" defaultRowHeight="12"/>
  <cols>
    <col min="1" max="1" width="13.6640625" style="89" bestFit="1" customWidth="1"/>
    <col min="2" max="2" width="1.5" style="76" customWidth="1"/>
    <col min="3" max="3" width="6.83203125" style="90" customWidth="1"/>
    <col min="4" max="4" width="1.5" style="75" customWidth="1"/>
    <col min="5" max="5" width="6.83203125" style="90" customWidth="1"/>
    <col min="6" max="6" width="1.5" style="75" customWidth="1"/>
    <col min="7" max="7" width="6.83203125" style="90" customWidth="1"/>
    <col min="8" max="8" width="1.5" style="75" customWidth="1"/>
    <col min="9" max="9" width="6.83203125" style="90" customWidth="1"/>
    <col min="10" max="10" width="1.83203125" style="75" customWidth="1"/>
    <col min="11" max="11" width="6.83203125" style="90" customWidth="1"/>
    <col min="12" max="12" width="1.5" style="75" customWidth="1"/>
    <col min="13" max="16384" width="6.1640625" style="70"/>
  </cols>
  <sheetData>
    <row r="1" spans="1:23" ht="11.25" customHeight="1">
      <c r="A1" s="384" t="s">
        <v>190</v>
      </c>
      <c r="B1" s="384"/>
      <c r="C1" s="384"/>
      <c r="D1" s="384"/>
      <c r="E1" s="384"/>
      <c r="F1" s="384"/>
      <c r="G1" s="384"/>
      <c r="H1" s="384"/>
      <c r="I1" s="384"/>
      <c r="J1" s="384"/>
      <c r="K1" s="384"/>
      <c r="L1" s="384"/>
      <c r="M1" s="69"/>
    </row>
    <row r="2" spans="1:23" ht="11.25" customHeight="1">
      <c r="A2" s="384" t="s">
        <v>191</v>
      </c>
      <c r="B2" s="384"/>
      <c r="C2" s="384"/>
      <c r="D2" s="384"/>
      <c r="E2" s="384"/>
      <c r="F2" s="384"/>
      <c r="G2" s="384"/>
      <c r="H2" s="384"/>
      <c r="I2" s="384"/>
      <c r="J2" s="384"/>
      <c r="K2" s="384"/>
      <c r="L2" s="384"/>
      <c r="M2" s="69"/>
    </row>
    <row r="3" spans="1:23" ht="11.25" customHeight="1">
      <c r="A3" s="385"/>
      <c r="B3" s="385"/>
      <c r="C3" s="385"/>
      <c r="D3" s="385"/>
      <c r="E3" s="385"/>
      <c r="F3" s="385"/>
      <c r="G3" s="385"/>
      <c r="H3" s="385"/>
      <c r="I3" s="385"/>
      <c r="J3" s="385"/>
      <c r="K3" s="385"/>
      <c r="L3" s="385"/>
      <c r="M3" s="69"/>
    </row>
    <row r="4" spans="1:23" ht="11.25" customHeight="1">
      <c r="A4" s="384" t="s">
        <v>0</v>
      </c>
      <c r="B4" s="384"/>
      <c r="C4" s="384"/>
      <c r="D4" s="384"/>
      <c r="E4" s="384"/>
      <c r="F4" s="384"/>
      <c r="G4" s="384"/>
      <c r="H4" s="384"/>
      <c r="I4" s="384"/>
      <c r="J4" s="384"/>
      <c r="K4" s="384"/>
      <c r="L4" s="384"/>
      <c r="M4" s="69"/>
    </row>
    <row r="5" spans="1:23" ht="11.25" customHeight="1">
      <c r="A5" s="383" t="s">
        <v>194</v>
      </c>
      <c r="B5" s="383"/>
      <c r="C5" s="383"/>
      <c r="D5" s="383"/>
      <c r="E5" s="383"/>
      <c r="F5" s="383"/>
      <c r="G5" s="383"/>
      <c r="H5" s="383"/>
      <c r="I5" s="383"/>
      <c r="J5" s="383"/>
      <c r="K5" s="383"/>
      <c r="L5" s="386"/>
      <c r="M5" s="69"/>
      <c r="N5" s="383" t="s">
        <v>195</v>
      </c>
      <c r="O5" s="383"/>
      <c r="P5" s="383"/>
      <c r="Q5" s="383"/>
      <c r="R5" s="383"/>
      <c r="S5" s="383"/>
      <c r="T5" s="383"/>
      <c r="U5" s="383"/>
      <c r="V5" s="383"/>
    </row>
    <row r="6" spans="1:23" ht="11.25" customHeight="1">
      <c r="A6" s="382" t="s">
        <v>192</v>
      </c>
      <c r="B6" s="382"/>
      <c r="C6" s="71">
        <v>2013</v>
      </c>
      <c r="D6" s="72"/>
      <c r="E6" s="71">
        <v>2014</v>
      </c>
      <c r="F6" s="72"/>
      <c r="G6" s="71">
        <v>2015</v>
      </c>
      <c r="H6" s="72"/>
      <c r="I6" s="71">
        <v>2016</v>
      </c>
      <c r="J6" s="72"/>
      <c r="K6" s="71">
        <v>2017</v>
      </c>
      <c r="L6" s="72"/>
      <c r="M6" s="69"/>
      <c r="N6" s="71">
        <v>2013</v>
      </c>
      <c r="O6" s="72"/>
      <c r="P6" s="71">
        <v>2014</v>
      </c>
      <c r="Q6" s="72"/>
      <c r="R6" s="71">
        <v>2015</v>
      </c>
      <c r="S6" s="72"/>
      <c r="T6" s="71">
        <v>2016</v>
      </c>
      <c r="U6" s="72"/>
      <c r="V6" s="71">
        <v>2017</v>
      </c>
    </row>
    <row r="7" spans="1:23" ht="11.25" customHeight="1">
      <c r="A7" s="73" t="s">
        <v>7</v>
      </c>
      <c r="B7" s="74"/>
      <c r="C7" s="77">
        <v>1067</v>
      </c>
      <c r="E7" s="77">
        <v>911</v>
      </c>
      <c r="G7" s="77">
        <v>944</v>
      </c>
      <c r="I7" s="77">
        <v>610</v>
      </c>
      <c r="J7" s="75" t="s">
        <v>8</v>
      </c>
      <c r="K7" s="77">
        <v>600</v>
      </c>
      <c r="L7" s="75" t="s">
        <v>9</v>
      </c>
      <c r="M7" s="69"/>
      <c r="N7" s="77">
        <v>565</v>
      </c>
      <c r="O7" s="75"/>
      <c r="P7" s="77">
        <v>483</v>
      </c>
      <c r="Q7" s="75"/>
      <c r="R7" s="77">
        <v>500</v>
      </c>
      <c r="S7" s="75"/>
      <c r="T7" s="77">
        <v>323</v>
      </c>
      <c r="U7" s="75" t="s">
        <v>8</v>
      </c>
      <c r="V7" s="77">
        <v>318</v>
      </c>
      <c r="W7" s="75" t="s">
        <v>9</v>
      </c>
    </row>
    <row r="8" spans="1:23" ht="11.25" customHeight="1">
      <c r="A8" s="79" t="s">
        <v>10</v>
      </c>
      <c r="C8" s="77">
        <v>609730</v>
      </c>
      <c r="E8" s="77">
        <v>739682</v>
      </c>
      <c r="G8" s="77">
        <v>809882</v>
      </c>
      <c r="I8" s="77">
        <v>858026</v>
      </c>
      <c r="J8" s="75" t="s">
        <v>8</v>
      </c>
      <c r="K8" s="77">
        <v>883357</v>
      </c>
      <c r="M8" s="69"/>
      <c r="N8" s="77">
        <v>377760</v>
      </c>
      <c r="O8" s="75"/>
      <c r="P8" s="77">
        <v>457409</v>
      </c>
      <c r="Q8" s="75"/>
      <c r="R8" s="77">
        <v>500994</v>
      </c>
      <c r="S8" s="75"/>
      <c r="T8" s="77">
        <v>531075</v>
      </c>
      <c r="U8" s="75" t="s">
        <v>8</v>
      </c>
      <c r="V8" s="77">
        <v>547027</v>
      </c>
      <c r="W8" s="75"/>
    </row>
    <row r="9" spans="1:23" ht="11.25" customHeight="1">
      <c r="A9" s="79" t="s">
        <v>11</v>
      </c>
      <c r="C9" s="77">
        <v>2323</v>
      </c>
      <c r="E9" s="77">
        <v>2437</v>
      </c>
      <c r="G9" s="77">
        <v>2783</v>
      </c>
      <c r="I9" s="77">
        <v>2777</v>
      </c>
      <c r="J9" s="75" t="s">
        <v>8</v>
      </c>
      <c r="K9" s="77">
        <v>2800</v>
      </c>
      <c r="L9" s="75" t="s">
        <v>9</v>
      </c>
      <c r="M9" s="69"/>
      <c r="N9" s="77">
        <v>743</v>
      </c>
      <c r="O9" s="75"/>
      <c r="P9" s="77">
        <v>780</v>
      </c>
      <c r="Q9" s="75"/>
      <c r="R9" s="77">
        <v>891</v>
      </c>
      <c r="S9" s="75"/>
      <c r="T9" s="77">
        <v>889</v>
      </c>
      <c r="U9" s="75"/>
      <c r="V9" s="77">
        <v>890</v>
      </c>
      <c r="W9" s="75" t="s">
        <v>9</v>
      </c>
    </row>
    <row r="10" spans="1:23" ht="11.25" customHeight="1">
      <c r="A10" s="79" t="s">
        <v>80</v>
      </c>
      <c r="C10" s="77">
        <v>141</v>
      </c>
      <c r="E10" s="77">
        <v>91</v>
      </c>
      <c r="G10" s="77">
        <v>128</v>
      </c>
      <c r="I10" s="77">
        <v>26</v>
      </c>
      <c r="K10" s="80" t="s">
        <v>12</v>
      </c>
      <c r="M10" s="69"/>
      <c r="N10" s="77">
        <v>68</v>
      </c>
      <c r="O10" s="75"/>
      <c r="P10" s="77">
        <v>44</v>
      </c>
      <c r="Q10" s="75"/>
      <c r="R10" s="77">
        <v>61</v>
      </c>
      <c r="S10" s="75"/>
      <c r="T10" s="77">
        <v>12</v>
      </c>
      <c r="U10" s="75"/>
      <c r="V10" s="80" t="s">
        <v>12</v>
      </c>
      <c r="W10" s="75"/>
    </row>
    <row r="11" spans="1:23" ht="11.25" customHeight="1">
      <c r="A11" s="79" t="s">
        <v>225</v>
      </c>
      <c r="C11" s="77">
        <v>21</v>
      </c>
      <c r="E11" s="77">
        <v>19</v>
      </c>
      <c r="G11" s="77">
        <v>43</v>
      </c>
      <c r="I11" s="77">
        <v>28</v>
      </c>
      <c r="K11" s="77">
        <v>28</v>
      </c>
      <c r="L11" s="75" t="s">
        <v>9</v>
      </c>
      <c r="M11" s="69"/>
      <c r="N11" s="77">
        <v>13</v>
      </c>
      <c r="O11" s="75"/>
      <c r="P11" s="77">
        <v>12</v>
      </c>
      <c r="Q11" s="75"/>
      <c r="R11" s="77">
        <v>27</v>
      </c>
      <c r="S11" s="75"/>
      <c r="T11" s="77">
        <v>17</v>
      </c>
      <c r="U11" s="75" t="s">
        <v>8</v>
      </c>
      <c r="V11" s="77">
        <v>17</v>
      </c>
      <c r="W11" s="75" t="s">
        <v>9</v>
      </c>
    </row>
    <row r="12" spans="1:23" ht="11.25" customHeight="1">
      <c r="A12" s="79" t="s">
        <v>81</v>
      </c>
      <c r="C12" s="77">
        <v>2122</v>
      </c>
      <c r="E12" s="77">
        <v>2128</v>
      </c>
      <c r="G12" s="77">
        <v>2123</v>
      </c>
      <c r="I12" s="77">
        <v>1752</v>
      </c>
      <c r="J12" s="75" t="s">
        <v>8</v>
      </c>
      <c r="K12" s="77">
        <v>1622</v>
      </c>
      <c r="M12" s="69"/>
      <c r="N12" s="77">
        <v>1330</v>
      </c>
      <c r="O12" s="75" t="s">
        <v>8</v>
      </c>
      <c r="P12" s="77">
        <v>1330</v>
      </c>
      <c r="Q12" s="75" t="s">
        <v>8</v>
      </c>
      <c r="R12" s="77">
        <v>1330</v>
      </c>
      <c r="S12" s="75" t="s">
        <v>8</v>
      </c>
      <c r="T12" s="77">
        <v>1090</v>
      </c>
      <c r="U12" s="75" t="s">
        <v>8</v>
      </c>
      <c r="V12" s="77">
        <v>1010</v>
      </c>
      <c r="W12" s="75"/>
    </row>
    <row r="13" spans="1:23" ht="11.25" customHeight="1">
      <c r="A13" s="79" t="s">
        <v>15</v>
      </c>
      <c r="C13" s="77">
        <v>386270</v>
      </c>
      <c r="E13" s="77">
        <v>411183</v>
      </c>
      <c r="G13" s="77">
        <v>430836</v>
      </c>
      <c r="I13" s="77">
        <v>421358</v>
      </c>
      <c r="J13" s="75" t="s">
        <v>8</v>
      </c>
      <c r="K13" s="77">
        <v>425000</v>
      </c>
      <c r="L13" s="75" t="s">
        <v>9</v>
      </c>
      <c r="M13" s="69"/>
      <c r="N13" s="77">
        <v>245668</v>
      </c>
      <c r="O13" s="75"/>
      <c r="P13" s="77">
        <v>261500</v>
      </c>
      <c r="Q13" s="75"/>
      <c r="R13" s="77">
        <v>275590</v>
      </c>
      <c r="S13" s="75"/>
      <c r="T13" s="77">
        <v>268000</v>
      </c>
      <c r="U13" s="75" t="s">
        <v>8</v>
      </c>
      <c r="V13" s="77">
        <v>269000</v>
      </c>
      <c r="W13" s="75" t="s">
        <v>9</v>
      </c>
    </row>
    <row r="14" spans="1:23" ht="11.25" customHeight="1">
      <c r="A14" s="79" t="s">
        <v>226</v>
      </c>
      <c r="C14" s="77">
        <v>42063</v>
      </c>
      <c r="E14" s="77">
        <v>43173</v>
      </c>
      <c r="G14" s="77">
        <v>46220</v>
      </c>
      <c r="I14" s="77">
        <v>46731</v>
      </c>
      <c r="J14" s="75" t="s">
        <v>8</v>
      </c>
      <c r="K14" s="77">
        <v>49009</v>
      </c>
      <c r="M14" s="69"/>
      <c r="N14" s="77">
        <v>25200</v>
      </c>
      <c r="O14" s="75" t="s">
        <v>8</v>
      </c>
      <c r="P14" s="77">
        <v>25900</v>
      </c>
      <c r="Q14" s="75" t="s">
        <v>8</v>
      </c>
      <c r="R14" s="77">
        <v>27700</v>
      </c>
      <c r="S14" s="75" t="s">
        <v>8</v>
      </c>
      <c r="T14" s="77">
        <v>28100</v>
      </c>
      <c r="U14" s="75" t="s">
        <v>8</v>
      </c>
      <c r="V14" s="77">
        <v>29400</v>
      </c>
      <c r="W14" s="75"/>
    </row>
    <row r="15" spans="1:23" ht="11.25" customHeight="1">
      <c r="A15" s="79" t="s">
        <v>18</v>
      </c>
      <c r="C15" s="77">
        <v>17109</v>
      </c>
      <c r="E15" s="77">
        <v>18866</v>
      </c>
      <c r="G15" s="77">
        <v>15448</v>
      </c>
      <c r="I15" s="77">
        <v>14619</v>
      </c>
      <c r="J15" s="75" t="s">
        <v>8</v>
      </c>
      <c r="K15" s="77">
        <v>15426</v>
      </c>
      <c r="M15" s="69"/>
      <c r="N15" s="77">
        <v>9088</v>
      </c>
      <c r="O15" s="75"/>
      <c r="P15" s="77">
        <v>10149</v>
      </c>
      <c r="Q15" s="75"/>
      <c r="R15" s="77">
        <v>9148</v>
      </c>
      <c r="S15" s="75"/>
      <c r="T15" s="77">
        <v>9009</v>
      </c>
      <c r="U15" s="75" t="s">
        <v>8</v>
      </c>
      <c r="V15" s="77">
        <v>9549</v>
      </c>
      <c r="W15" s="75"/>
    </row>
    <row r="16" spans="1:23" ht="11.25" customHeight="1">
      <c r="A16" s="79" t="s">
        <v>227</v>
      </c>
      <c r="C16" s="77">
        <v>417287</v>
      </c>
      <c r="E16" s="77">
        <v>410123</v>
      </c>
      <c r="G16" s="77">
        <v>374838</v>
      </c>
      <c r="I16" s="77">
        <v>347594</v>
      </c>
      <c r="K16" s="77">
        <v>360000</v>
      </c>
      <c r="L16" s="75" t="s">
        <v>9</v>
      </c>
      <c r="M16" s="69"/>
      <c r="N16" s="77">
        <v>258718</v>
      </c>
      <c r="O16" s="75"/>
      <c r="P16" s="77">
        <v>254276</v>
      </c>
      <c r="Q16" s="75"/>
      <c r="R16" s="77">
        <v>232400</v>
      </c>
      <c r="S16" s="75"/>
      <c r="T16" s="77">
        <v>215509</v>
      </c>
      <c r="U16" s="75"/>
      <c r="V16" s="77">
        <v>223000</v>
      </c>
      <c r="W16" s="75" t="s">
        <v>9</v>
      </c>
    </row>
    <row r="17" spans="1:23" ht="11.25" customHeight="1">
      <c r="A17" s="79" t="s">
        <v>20</v>
      </c>
      <c r="C17" s="77">
        <v>710</v>
      </c>
      <c r="E17" s="77">
        <v>676</v>
      </c>
      <c r="G17" s="77">
        <v>902</v>
      </c>
      <c r="I17" s="77">
        <v>716</v>
      </c>
      <c r="K17" s="77">
        <v>715</v>
      </c>
      <c r="L17" s="75" t="s">
        <v>9</v>
      </c>
      <c r="M17" s="69"/>
      <c r="N17" s="77">
        <v>426</v>
      </c>
      <c r="O17" s="75"/>
      <c r="P17" s="77">
        <v>406</v>
      </c>
      <c r="Q17" s="75"/>
      <c r="R17" s="77">
        <v>541</v>
      </c>
      <c r="S17" s="75"/>
      <c r="T17" s="77">
        <v>429</v>
      </c>
      <c r="U17" s="75"/>
      <c r="V17" s="77">
        <v>429</v>
      </c>
      <c r="W17" s="75" t="s">
        <v>9</v>
      </c>
    </row>
    <row r="18" spans="1:23" ht="11.25" customHeight="1">
      <c r="A18" s="79" t="s">
        <v>21</v>
      </c>
      <c r="C18" s="77">
        <v>1422</v>
      </c>
      <c r="E18" s="77">
        <v>1697</v>
      </c>
      <c r="G18" s="77">
        <v>1500</v>
      </c>
      <c r="I18" s="77">
        <v>509</v>
      </c>
      <c r="J18" s="75" t="s">
        <v>8</v>
      </c>
      <c r="K18" s="77">
        <v>500</v>
      </c>
      <c r="L18" s="75" t="s">
        <v>9</v>
      </c>
      <c r="M18" s="69"/>
      <c r="N18" s="77">
        <v>889</v>
      </c>
      <c r="O18" s="75"/>
      <c r="P18" s="77">
        <v>1050</v>
      </c>
      <c r="Q18" s="75" t="s">
        <v>8</v>
      </c>
      <c r="R18" s="77">
        <v>938</v>
      </c>
      <c r="S18" s="75"/>
      <c r="T18" s="77">
        <v>318</v>
      </c>
      <c r="U18" s="75" t="s">
        <v>8</v>
      </c>
      <c r="V18" s="77">
        <v>310</v>
      </c>
      <c r="W18" s="75" t="s">
        <v>9</v>
      </c>
    </row>
    <row r="19" spans="1:23" ht="11.25" customHeight="1">
      <c r="A19" s="79" t="s">
        <v>22</v>
      </c>
      <c r="C19" s="77">
        <v>413</v>
      </c>
      <c r="D19" s="75" t="s">
        <v>8</v>
      </c>
      <c r="E19" s="77">
        <v>456</v>
      </c>
      <c r="F19" s="75" t="s">
        <v>8</v>
      </c>
      <c r="G19" s="80" t="s">
        <v>12</v>
      </c>
      <c r="I19" s="80" t="s">
        <v>12</v>
      </c>
      <c r="K19" s="80" t="s">
        <v>12</v>
      </c>
      <c r="M19" s="69"/>
      <c r="N19" s="77">
        <v>43</v>
      </c>
      <c r="O19" s="75" t="s">
        <v>8</v>
      </c>
      <c r="P19" s="77">
        <v>73</v>
      </c>
      <c r="Q19" s="75" t="s">
        <v>8</v>
      </c>
      <c r="R19" s="80" t="s">
        <v>12</v>
      </c>
      <c r="S19" s="75"/>
      <c r="T19" s="80" t="s">
        <v>12</v>
      </c>
      <c r="U19" s="75"/>
      <c r="V19" s="80" t="s">
        <v>12</v>
      </c>
      <c r="W19" s="75"/>
    </row>
    <row r="20" spans="1:23" ht="12" customHeight="1">
      <c r="A20" s="79" t="s">
        <v>326</v>
      </c>
      <c r="C20" s="77">
        <v>2221</v>
      </c>
      <c r="E20" s="77">
        <v>2317</v>
      </c>
      <c r="G20" s="77">
        <v>2340</v>
      </c>
      <c r="H20" s="75" t="s">
        <v>8</v>
      </c>
      <c r="I20" s="77">
        <v>2209</v>
      </c>
      <c r="K20" s="77">
        <v>2284</v>
      </c>
      <c r="M20" s="69"/>
      <c r="N20" s="77">
        <v>550</v>
      </c>
      <c r="O20" s="75"/>
      <c r="P20" s="77">
        <v>574</v>
      </c>
      <c r="Q20" s="75"/>
      <c r="R20" s="77">
        <v>580</v>
      </c>
      <c r="S20" s="75" t="s">
        <v>8</v>
      </c>
      <c r="T20" s="77">
        <v>547</v>
      </c>
      <c r="U20" s="75" t="s">
        <v>8</v>
      </c>
      <c r="V20" s="77">
        <v>566</v>
      </c>
      <c r="W20" s="75"/>
    </row>
    <row r="21" spans="1:23" ht="11.25" customHeight="1">
      <c r="A21" s="79" t="s">
        <v>24</v>
      </c>
      <c r="C21" s="77">
        <v>140416</v>
      </c>
      <c r="E21" s="77">
        <v>138000</v>
      </c>
      <c r="G21" s="77">
        <v>142399</v>
      </c>
      <c r="I21" s="77">
        <v>184501</v>
      </c>
      <c r="J21" s="75" t="s">
        <v>8</v>
      </c>
      <c r="K21" s="77">
        <v>201815</v>
      </c>
      <c r="M21" s="69"/>
      <c r="N21" s="77">
        <v>87060</v>
      </c>
      <c r="O21" s="75"/>
      <c r="P21" s="77">
        <v>85560</v>
      </c>
      <c r="Q21" s="75"/>
      <c r="R21" s="77">
        <v>88287</v>
      </c>
      <c r="S21" s="75"/>
      <c r="T21" s="77">
        <v>114000</v>
      </c>
      <c r="U21" s="75" t="s">
        <v>8</v>
      </c>
      <c r="V21" s="77">
        <v>125000</v>
      </c>
      <c r="W21" s="75"/>
    </row>
    <row r="22" spans="1:23" ht="11.25" customHeight="1">
      <c r="A22" s="79" t="s">
        <v>25</v>
      </c>
      <c r="C22" s="77">
        <v>22353</v>
      </c>
      <c r="E22" s="77">
        <v>5951</v>
      </c>
      <c r="G22" s="77">
        <v>500</v>
      </c>
      <c r="H22" s="75" t="s">
        <v>79</v>
      </c>
      <c r="I22" s="80" t="s">
        <v>12</v>
      </c>
      <c r="J22" s="75" t="s">
        <v>79</v>
      </c>
      <c r="K22" s="80" t="s">
        <v>12</v>
      </c>
      <c r="M22" s="69"/>
      <c r="N22" s="77">
        <v>14000</v>
      </c>
      <c r="O22" s="75"/>
      <c r="P22" s="77">
        <v>3720</v>
      </c>
      <c r="Q22" s="75"/>
      <c r="R22" s="77">
        <v>260</v>
      </c>
      <c r="S22" s="75" t="s">
        <v>8</v>
      </c>
      <c r="T22" s="80" t="s">
        <v>12</v>
      </c>
      <c r="U22" s="75" t="s">
        <v>8</v>
      </c>
      <c r="V22" s="80" t="s">
        <v>12</v>
      </c>
      <c r="W22" s="75"/>
    </row>
    <row r="23" spans="1:23" ht="11.25" customHeight="1">
      <c r="A23" s="79" t="s">
        <v>230</v>
      </c>
      <c r="C23" s="77">
        <v>48693</v>
      </c>
      <c r="E23" s="77">
        <v>48451</v>
      </c>
      <c r="G23" s="77">
        <v>39370</v>
      </c>
      <c r="I23" s="77">
        <v>39400</v>
      </c>
      <c r="J23" s="75" t="s">
        <v>8</v>
      </c>
      <c r="K23" s="77">
        <v>40100</v>
      </c>
      <c r="M23" s="69"/>
      <c r="N23" s="77">
        <v>25300</v>
      </c>
      <c r="O23" s="75" t="s">
        <v>8</v>
      </c>
      <c r="P23" s="77">
        <v>25700</v>
      </c>
      <c r="Q23" s="75" t="s">
        <v>8</v>
      </c>
      <c r="R23" s="77">
        <v>25800</v>
      </c>
      <c r="S23" s="75" t="s">
        <v>8</v>
      </c>
      <c r="T23" s="77">
        <v>25800</v>
      </c>
      <c r="U23" s="75" t="s">
        <v>8</v>
      </c>
      <c r="V23" s="77">
        <v>26300</v>
      </c>
      <c r="W23" s="75"/>
    </row>
    <row r="24" spans="1:23" ht="11.25" customHeight="1">
      <c r="A24" s="79" t="s">
        <v>28</v>
      </c>
      <c r="C24" s="77">
        <v>51689</v>
      </c>
      <c r="E24" s="77">
        <v>51541</v>
      </c>
      <c r="G24" s="77">
        <v>37270</v>
      </c>
      <c r="I24" s="77">
        <v>35794</v>
      </c>
      <c r="J24" s="75" t="s">
        <v>8</v>
      </c>
      <c r="K24" s="77">
        <v>39085</v>
      </c>
      <c r="M24" s="69"/>
      <c r="N24" s="77">
        <v>14724</v>
      </c>
      <c r="O24" s="75"/>
      <c r="P24" s="77">
        <v>14946</v>
      </c>
      <c r="Q24" s="75"/>
      <c r="R24" s="77">
        <v>11566</v>
      </c>
      <c r="S24" s="75"/>
      <c r="T24" s="77">
        <v>10101</v>
      </c>
      <c r="U24" s="75" t="s">
        <v>8</v>
      </c>
      <c r="V24" s="77">
        <v>10855</v>
      </c>
      <c r="W24" s="75"/>
    </row>
    <row r="25" spans="1:23" ht="11.25" customHeight="1">
      <c r="A25" s="79" t="s">
        <v>231</v>
      </c>
      <c r="C25" s="77">
        <v>5486</v>
      </c>
      <c r="E25" s="77">
        <v>5471</v>
      </c>
      <c r="G25" s="77">
        <v>4906</v>
      </c>
      <c r="I25" s="77">
        <v>5249</v>
      </c>
      <c r="J25" s="75" t="s">
        <v>8</v>
      </c>
      <c r="K25" s="77">
        <v>5250</v>
      </c>
      <c r="L25" s="75" t="s">
        <v>9</v>
      </c>
      <c r="M25" s="69"/>
      <c r="N25" s="77">
        <v>3401</v>
      </c>
      <c r="O25" s="75"/>
      <c r="P25" s="77">
        <v>3392</v>
      </c>
      <c r="Q25" s="75"/>
      <c r="R25" s="77">
        <v>3042</v>
      </c>
      <c r="S25" s="75"/>
      <c r="T25" s="77">
        <v>3254</v>
      </c>
      <c r="U25" s="75" t="s">
        <v>8</v>
      </c>
      <c r="V25" s="77">
        <v>3250</v>
      </c>
      <c r="W25" s="75" t="s">
        <v>9</v>
      </c>
    </row>
    <row r="26" spans="1:23" ht="11.25" customHeight="1">
      <c r="A26" s="79" t="s">
        <v>31</v>
      </c>
      <c r="C26" s="77">
        <v>663</v>
      </c>
      <c r="D26" s="75" t="s">
        <v>8</v>
      </c>
      <c r="E26" s="77">
        <v>693</v>
      </c>
      <c r="F26" s="75" t="s">
        <v>8</v>
      </c>
      <c r="G26" s="77">
        <v>445</v>
      </c>
      <c r="H26" s="75" t="s">
        <v>8</v>
      </c>
      <c r="I26" s="77">
        <v>445</v>
      </c>
      <c r="J26" s="75" t="s">
        <v>8</v>
      </c>
      <c r="K26" s="77">
        <v>310</v>
      </c>
      <c r="M26" s="69"/>
      <c r="N26" s="82">
        <v>414</v>
      </c>
      <c r="O26" s="83" t="s">
        <v>8</v>
      </c>
      <c r="P26" s="82">
        <v>433</v>
      </c>
      <c r="Q26" s="83" t="s">
        <v>8</v>
      </c>
      <c r="R26" s="82">
        <v>278</v>
      </c>
      <c r="S26" s="83" t="s">
        <v>8</v>
      </c>
      <c r="T26" s="82">
        <v>278</v>
      </c>
      <c r="U26" s="83" t="s">
        <v>8</v>
      </c>
      <c r="V26" s="82">
        <v>194</v>
      </c>
      <c r="W26" s="83"/>
    </row>
    <row r="27" spans="1:23" ht="11.25" customHeight="1">
      <c r="A27" s="79" t="s">
        <v>232</v>
      </c>
      <c r="C27" s="77">
        <v>905</v>
      </c>
      <c r="E27" s="77">
        <v>1149</v>
      </c>
      <c r="G27" s="77">
        <v>235</v>
      </c>
      <c r="H27" s="75" t="s">
        <v>8</v>
      </c>
      <c r="I27" s="77">
        <v>115</v>
      </c>
      <c r="J27" s="75" t="s">
        <v>8</v>
      </c>
      <c r="K27" s="77">
        <v>110</v>
      </c>
      <c r="L27" s="75" t="s">
        <v>9</v>
      </c>
      <c r="M27" s="69"/>
      <c r="N27" s="77">
        <v>561</v>
      </c>
      <c r="O27" s="75"/>
      <c r="P27" s="77">
        <v>712</v>
      </c>
      <c r="Q27" s="75"/>
      <c r="R27" s="77">
        <v>146</v>
      </c>
      <c r="S27" s="75" t="s">
        <v>8</v>
      </c>
      <c r="T27" s="77">
        <v>71</v>
      </c>
      <c r="U27" s="75" t="s">
        <v>8</v>
      </c>
      <c r="V27" s="77">
        <v>70</v>
      </c>
      <c r="W27" s="75" t="s">
        <v>9</v>
      </c>
    </row>
    <row r="28" spans="1:23" ht="11.25" customHeight="1">
      <c r="A28" s="79" t="s">
        <v>233</v>
      </c>
      <c r="C28" s="77">
        <v>4698</v>
      </c>
      <c r="E28" s="77">
        <v>5744</v>
      </c>
      <c r="G28" s="77">
        <v>4530</v>
      </c>
      <c r="H28" s="75" t="s">
        <v>8</v>
      </c>
      <c r="I28" s="77">
        <v>1405</v>
      </c>
      <c r="J28" s="75" t="s">
        <v>8</v>
      </c>
      <c r="K28" s="77">
        <v>1930</v>
      </c>
      <c r="L28" s="75" t="s">
        <v>9</v>
      </c>
      <c r="M28" s="69"/>
      <c r="N28" s="77">
        <v>2936</v>
      </c>
      <c r="O28" s="75" t="s">
        <v>8</v>
      </c>
      <c r="P28" s="77">
        <v>3590</v>
      </c>
      <c r="Q28" s="75" t="s">
        <v>8</v>
      </c>
      <c r="R28" s="77">
        <v>2830</v>
      </c>
      <c r="S28" s="75" t="s">
        <v>8</v>
      </c>
      <c r="T28" s="77">
        <v>878</v>
      </c>
      <c r="U28" s="75" t="s">
        <v>8</v>
      </c>
      <c r="V28" s="77">
        <v>1210</v>
      </c>
      <c r="W28" s="75"/>
    </row>
    <row r="29" spans="1:23" ht="11.25" customHeight="1">
      <c r="A29" s="79" t="s">
        <v>32</v>
      </c>
      <c r="C29" s="77">
        <v>12134</v>
      </c>
      <c r="E29" s="77">
        <v>9615</v>
      </c>
      <c r="G29" s="77">
        <v>1625</v>
      </c>
      <c r="I29" s="77">
        <v>1914</v>
      </c>
      <c r="J29" s="75" t="s">
        <v>8</v>
      </c>
      <c r="K29" s="77">
        <v>3920</v>
      </c>
      <c r="M29" s="69"/>
      <c r="N29" s="77">
        <v>7580</v>
      </c>
      <c r="O29" s="75" t="s">
        <v>8</v>
      </c>
      <c r="P29" s="77">
        <v>6010</v>
      </c>
      <c r="Q29" s="75" t="s">
        <v>8</v>
      </c>
      <c r="R29" s="77">
        <v>1020</v>
      </c>
      <c r="S29" s="75" t="s">
        <v>8</v>
      </c>
      <c r="T29" s="77">
        <v>1150</v>
      </c>
      <c r="U29" s="75" t="s">
        <v>8</v>
      </c>
      <c r="V29" s="77">
        <v>2450</v>
      </c>
      <c r="W29" s="75"/>
    </row>
    <row r="30" spans="1:23" ht="11.25" customHeight="1">
      <c r="A30" s="79" t="s">
        <v>33</v>
      </c>
      <c r="C30" s="77">
        <v>11975</v>
      </c>
      <c r="D30" s="75" t="s">
        <v>8</v>
      </c>
      <c r="E30" s="77">
        <v>13306</v>
      </c>
      <c r="G30" s="77">
        <v>11607</v>
      </c>
      <c r="H30" s="75" t="s">
        <v>8</v>
      </c>
      <c r="I30" s="77">
        <v>13268</v>
      </c>
      <c r="J30" s="75" t="s">
        <v>8</v>
      </c>
      <c r="K30" s="77">
        <v>13300</v>
      </c>
      <c r="L30" s="75" t="s">
        <v>9</v>
      </c>
      <c r="M30" s="69"/>
      <c r="N30" s="77">
        <v>7480</v>
      </c>
      <c r="O30" s="75" t="s">
        <v>8</v>
      </c>
      <c r="P30" s="77">
        <v>8320</v>
      </c>
      <c r="Q30" s="75" t="s">
        <v>8</v>
      </c>
      <c r="R30" s="77">
        <v>7250</v>
      </c>
      <c r="S30" s="75" t="s">
        <v>8</v>
      </c>
      <c r="T30" s="77">
        <v>8290</v>
      </c>
      <c r="U30" s="75" t="s">
        <v>8</v>
      </c>
      <c r="V30" s="77">
        <v>9310</v>
      </c>
      <c r="W30" s="75" t="s">
        <v>9</v>
      </c>
    </row>
    <row r="31" spans="1:23" ht="11.25" customHeight="1">
      <c r="A31" s="79" t="s">
        <v>234</v>
      </c>
      <c r="C31" s="77">
        <v>18840</v>
      </c>
      <c r="E31" s="77">
        <v>16628</v>
      </c>
      <c r="G31" s="77">
        <v>13462</v>
      </c>
      <c r="I31" s="77">
        <v>12090</v>
      </c>
      <c r="K31" s="77">
        <v>12100</v>
      </c>
      <c r="L31" s="75" t="s">
        <v>9</v>
      </c>
      <c r="M31" s="69"/>
      <c r="N31" s="77">
        <v>11780</v>
      </c>
      <c r="O31" s="75"/>
      <c r="P31" s="77">
        <v>10400</v>
      </c>
      <c r="Q31" s="75"/>
      <c r="R31" s="77">
        <v>8414</v>
      </c>
      <c r="S31" s="75"/>
      <c r="T31" s="77">
        <v>7560</v>
      </c>
      <c r="U31" s="75" t="s">
        <v>8</v>
      </c>
      <c r="V31" s="77">
        <v>7560</v>
      </c>
      <c r="W31" s="75" t="s">
        <v>9</v>
      </c>
    </row>
    <row r="32" spans="1:23" ht="11.25" customHeight="1">
      <c r="A32" s="79" t="s">
        <v>102</v>
      </c>
      <c r="C32" s="77">
        <v>6794</v>
      </c>
      <c r="E32" s="77">
        <v>7558</v>
      </c>
      <c r="G32" s="77">
        <v>6061</v>
      </c>
      <c r="I32" s="77">
        <v>4936</v>
      </c>
      <c r="J32" s="75" t="s">
        <v>8</v>
      </c>
      <c r="K32" s="77">
        <v>7695</v>
      </c>
      <c r="M32" s="69"/>
      <c r="N32" s="77">
        <v>4076</v>
      </c>
      <c r="O32" s="75"/>
      <c r="P32" s="77">
        <v>4535</v>
      </c>
      <c r="Q32" s="75"/>
      <c r="R32" s="77">
        <v>3637</v>
      </c>
      <c r="S32" s="75"/>
      <c r="T32" s="77">
        <v>2960</v>
      </c>
      <c r="U32" s="75" t="s">
        <v>8</v>
      </c>
      <c r="V32" s="77">
        <v>4620</v>
      </c>
      <c r="W32" s="75"/>
    </row>
    <row r="33" spans="1:23" ht="11.25" customHeight="1">
      <c r="A33" s="79" t="s">
        <v>34</v>
      </c>
      <c r="C33" s="77">
        <v>301</v>
      </c>
      <c r="E33" s="77">
        <v>23</v>
      </c>
      <c r="G33" s="77">
        <v>18</v>
      </c>
      <c r="I33" s="77">
        <v>15</v>
      </c>
      <c r="K33" s="77">
        <v>15</v>
      </c>
      <c r="L33" s="75" t="s">
        <v>9</v>
      </c>
      <c r="M33" s="69"/>
      <c r="N33" s="77">
        <v>163</v>
      </c>
      <c r="O33" s="75"/>
      <c r="P33" s="77">
        <v>12</v>
      </c>
      <c r="Q33" s="75"/>
      <c r="R33" s="77">
        <v>10</v>
      </c>
      <c r="S33" s="75"/>
      <c r="T33" s="77">
        <v>5</v>
      </c>
      <c r="U33" s="75"/>
      <c r="V33" s="77">
        <v>6</v>
      </c>
      <c r="W33" s="75" t="s">
        <v>9</v>
      </c>
    </row>
    <row r="34" spans="1:23" ht="12.5" customHeight="1">
      <c r="A34" s="79" t="s">
        <v>653</v>
      </c>
      <c r="C34" s="80" t="s">
        <v>12</v>
      </c>
      <c r="E34" s="80" t="s">
        <v>12</v>
      </c>
      <c r="G34" s="80" t="s">
        <v>12</v>
      </c>
      <c r="I34" s="77">
        <v>1</v>
      </c>
      <c r="J34" s="75" t="s">
        <v>8</v>
      </c>
      <c r="K34" s="85" t="s">
        <v>206</v>
      </c>
      <c r="M34" s="69"/>
      <c r="N34" s="80" t="s">
        <v>12</v>
      </c>
      <c r="O34" s="75"/>
      <c r="P34" s="80" t="s">
        <v>12</v>
      </c>
      <c r="Q34" s="75"/>
      <c r="R34" s="80" t="s">
        <v>12</v>
      </c>
      <c r="S34" s="75"/>
      <c r="T34" s="85" t="s">
        <v>206</v>
      </c>
      <c r="U34" s="75" t="s">
        <v>8</v>
      </c>
      <c r="V34" s="85" t="s">
        <v>206</v>
      </c>
      <c r="W34" s="75"/>
    </row>
    <row r="35" spans="1:23" ht="12" customHeight="1">
      <c r="A35" s="79" t="s">
        <v>277</v>
      </c>
      <c r="C35" s="77">
        <v>3157</v>
      </c>
      <c r="E35" s="77">
        <v>3245</v>
      </c>
      <c r="G35" s="77">
        <v>3194</v>
      </c>
      <c r="I35" s="77">
        <v>3496</v>
      </c>
      <c r="K35" s="77">
        <v>3490</v>
      </c>
      <c r="L35" s="75" t="s">
        <v>9</v>
      </c>
      <c r="M35" s="69"/>
      <c r="N35" s="77">
        <v>1800</v>
      </c>
      <c r="O35" s="75"/>
      <c r="P35" s="77">
        <v>1850</v>
      </c>
      <c r="Q35" s="75"/>
      <c r="R35" s="77">
        <v>1820</v>
      </c>
      <c r="S35" s="75"/>
      <c r="T35" s="77">
        <v>1993</v>
      </c>
      <c r="U35" s="75"/>
      <c r="V35" s="77">
        <v>1990</v>
      </c>
      <c r="W35" s="75" t="s">
        <v>9</v>
      </c>
    </row>
    <row r="36" spans="1:23" ht="11.25" customHeight="1">
      <c r="A36" s="79" t="s">
        <v>235</v>
      </c>
      <c r="C36" s="77">
        <v>2</v>
      </c>
      <c r="E36" s="77">
        <v>2</v>
      </c>
      <c r="G36" s="77">
        <v>6</v>
      </c>
      <c r="I36" s="77">
        <v>2</v>
      </c>
      <c r="J36" s="75" t="s">
        <v>8</v>
      </c>
      <c r="K36" s="77">
        <v>2</v>
      </c>
      <c r="L36" s="75" t="s">
        <v>9</v>
      </c>
      <c r="M36" s="69"/>
      <c r="N36" s="77">
        <v>1</v>
      </c>
      <c r="O36" s="75" t="s">
        <v>9</v>
      </c>
      <c r="P36" s="77">
        <v>1</v>
      </c>
      <c r="Q36" s="75" t="s">
        <v>9</v>
      </c>
      <c r="R36" s="77">
        <v>4</v>
      </c>
      <c r="S36" s="75" t="s">
        <v>9</v>
      </c>
      <c r="T36" s="77">
        <v>1</v>
      </c>
      <c r="U36" s="75" t="s">
        <v>8</v>
      </c>
      <c r="V36" s="77">
        <v>1</v>
      </c>
      <c r="W36" s="75"/>
    </row>
    <row r="37" spans="1:23" ht="11.25" customHeight="1">
      <c r="A37" s="79" t="s">
        <v>35</v>
      </c>
      <c r="C37" s="77">
        <v>3409</v>
      </c>
      <c r="E37" s="77">
        <v>3854</v>
      </c>
      <c r="G37" s="77">
        <v>3519</v>
      </c>
      <c r="I37" s="80" t="s">
        <v>12</v>
      </c>
      <c r="J37" s="75" t="s">
        <v>8</v>
      </c>
      <c r="K37" s="80" t="s">
        <v>12</v>
      </c>
      <c r="M37" s="69"/>
      <c r="N37" s="77">
        <v>2114</v>
      </c>
      <c r="O37" s="75"/>
      <c r="P37" s="77">
        <v>2390</v>
      </c>
      <c r="Q37" s="75"/>
      <c r="R37" s="77">
        <v>2182</v>
      </c>
      <c r="S37" s="75"/>
      <c r="T37" s="80" t="s">
        <v>12</v>
      </c>
      <c r="U37" s="75" t="s">
        <v>8</v>
      </c>
      <c r="V37" s="80" t="s">
        <v>12</v>
      </c>
    </row>
    <row r="38" spans="1:23" ht="11.25" customHeight="1">
      <c r="A38" s="79" t="s">
        <v>236</v>
      </c>
      <c r="C38" s="77">
        <v>253</v>
      </c>
      <c r="E38" s="77">
        <v>255</v>
      </c>
      <c r="G38" s="77">
        <v>439</v>
      </c>
      <c r="I38" s="77">
        <v>471</v>
      </c>
      <c r="J38" s="75" t="s">
        <v>8</v>
      </c>
      <c r="K38" s="77">
        <v>547</v>
      </c>
      <c r="M38" s="69"/>
      <c r="N38" s="77">
        <v>81</v>
      </c>
      <c r="O38" s="75"/>
      <c r="P38" s="77">
        <v>82</v>
      </c>
      <c r="Q38" s="75"/>
      <c r="R38" s="77">
        <v>140</v>
      </c>
      <c r="S38" s="75"/>
      <c r="T38" s="77">
        <v>151</v>
      </c>
      <c r="U38" s="75" t="s">
        <v>8</v>
      </c>
      <c r="V38" s="77">
        <v>175</v>
      </c>
    </row>
    <row r="39" spans="1:23" ht="11.25" customHeight="1">
      <c r="A39" s="79" t="s">
        <v>36</v>
      </c>
      <c r="C39" s="77">
        <v>10126</v>
      </c>
      <c r="E39" s="77">
        <v>10731</v>
      </c>
      <c r="G39" s="77">
        <v>10908</v>
      </c>
      <c r="I39" s="77">
        <v>11418</v>
      </c>
      <c r="K39" s="77">
        <v>13121</v>
      </c>
      <c r="M39" s="69"/>
      <c r="N39" s="77">
        <v>6788</v>
      </c>
      <c r="O39" s="75"/>
      <c r="P39" s="77">
        <v>7193</v>
      </c>
      <c r="Q39" s="75"/>
      <c r="R39" s="77">
        <v>7321</v>
      </c>
      <c r="S39" s="75"/>
      <c r="T39" s="77">
        <v>7663</v>
      </c>
      <c r="U39" s="75"/>
      <c r="V39" s="77">
        <v>8806</v>
      </c>
      <c r="W39" s="75"/>
    </row>
    <row r="40" spans="1:23" ht="11.25" customHeight="1">
      <c r="A40" s="79" t="s">
        <v>237</v>
      </c>
      <c r="C40" s="77">
        <v>1057</v>
      </c>
      <c r="E40" s="77">
        <v>154</v>
      </c>
      <c r="G40" s="77">
        <v>107</v>
      </c>
      <c r="I40" s="77">
        <v>17</v>
      </c>
      <c r="J40" s="75" t="s">
        <v>8</v>
      </c>
      <c r="K40" s="80" t="s">
        <v>12</v>
      </c>
      <c r="M40" s="69"/>
      <c r="N40" s="77">
        <v>674</v>
      </c>
      <c r="O40" s="75"/>
      <c r="P40" s="77">
        <v>98</v>
      </c>
      <c r="Q40" s="75"/>
      <c r="R40" s="77">
        <v>68</v>
      </c>
      <c r="S40" s="75"/>
      <c r="T40" s="77">
        <v>11</v>
      </c>
      <c r="U40" s="75" t="s">
        <v>8</v>
      </c>
      <c r="V40" s="80" t="s">
        <v>12</v>
      </c>
    </row>
    <row r="41" spans="1:23" ht="11.25" customHeight="1">
      <c r="A41" s="79" t="s">
        <v>37</v>
      </c>
      <c r="C41" s="77">
        <v>102157</v>
      </c>
      <c r="E41" s="77">
        <v>102019</v>
      </c>
      <c r="G41" s="77">
        <v>101049</v>
      </c>
      <c r="H41" s="75" t="s">
        <v>8</v>
      </c>
      <c r="I41" s="77">
        <v>101097</v>
      </c>
      <c r="J41" s="75" t="s">
        <v>8</v>
      </c>
      <c r="K41" s="77">
        <v>94967</v>
      </c>
      <c r="M41" s="69"/>
      <c r="N41" s="77">
        <v>60300</v>
      </c>
      <c r="O41" s="75"/>
      <c r="P41" s="77">
        <v>60200</v>
      </c>
      <c r="Q41" s="75"/>
      <c r="R41" s="77">
        <v>59619</v>
      </c>
      <c r="S41" s="75" t="s">
        <v>8</v>
      </c>
      <c r="T41" s="77">
        <v>59647</v>
      </c>
      <c r="U41" s="75" t="s">
        <v>8</v>
      </c>
      <c r="V41" s="77">
        <v>61246</v>
      </c>
      <c r="W41" s="75"/>
    </row>
    <row r="42" spans="1:23" ht="11.25" customHeight="1">
      <c r="A42" s="79" t="s">
        <v>239</v>
      </c>
      <c r="C42" s="77">
        <v>20300</v>
      </c>
      <c r="E42" s="77">
        <v>19429</v>
      </c>
      <c r="G42" s="77">
        <v>2624</v>
      </c>
      <c r="I42" s="77">
        <v>4720</v>
      </c>
      <c r="J42" s="75" t="s">
        <v>79</v>
      </c>
      <c r="K42" s="77">
        <v>4720</v>
      </c>
      <c r="L42" s="75" t="s">
        <v>9</v>
      </c>
      <c r="M42" s="69"/>
      <c r="N42" s="77">
        <v>11900</v>
      </c>
      <c r="O42" s="75"/>
      <c r="P42" s="77">
        <v>11300</v>
      </c>
      <c r="Q42" s="75"/>
      <c r="R42" s="77">
        <v>1500</v>
      </c>
      <c r="S42" s="75"/>
      <c r="T42" s="77">
        <v>2700</v>
      </c>
      <c r="U42" s="75" t="s">
        <v>79</v>
      </c>
      <c r="V42" s="77">
        <v>2700</v>
      </c>
      <c r="W42" s="75" t="s">
        <v>9</v>
      </c>
    </row>
    <row r="43" spans="1:23" ht="11.25" customHeight="1">
      <c r="A43" s="79" t="s">
        <v>240</v>
      </c>
      <c r="C43" s="77">
        <v>71645</v>
      </c>
      <c r="E43" s="77">
        <v>80759</v>
      </c>
      <c r="G43" s="77">
        <v>72806</v>
      </c>
      <c r="I43" s="77">
        <v>66456</v>
      </c>
      <c r="K43" s="77">
        <v>81068</v>
      </c>
      <c r="M43" s="69"/>
      <c r="N43" s="77">
        <v>45700</v>
      </c>
      <c r="O43" s="75"/>
      <c r="P43" s="77">
        <v>51500</v>
      </c>
      <c r="Q43" s="75"/>
      <c r="R43" s="77">
        <v>46424</v>
      </c>
      <c r="S43" s="75"/>
      <c r="T43" s="77">
        <v>42000</v>
      </c>
      <c r="U43" s="75" t="s">
        <v>9</v>
      </c>
      <c r="V43" s="77">
        <v>51600</v>
      </c>
      <c r="W43" s="75"/>
    </row>
    <row r="44" spans="1:23" ht="11.25" customHeight="1">
      <c r="A44" s="79" t="s">
        <v>654</v>
      </c>
      <c r="C44" s="77">
        <v>1259</v>
      </c>
      <c r="E44" s="77">
        <v>603</v>
      </c>
      <c r="G44" s="80" t="s">
        <v>12</v>
      </c>
      <c r="I44" s="80" t="s">
        <v>12</v>
      </c>
      <c r="K44" s="80" t="s">
        <v>12</v>
      </c>
      <c r="M44" s="69"/>
      <c r="N44" s="77">
        <v>550</v>
      </c>
      <c r="O44" s="75"/>
      <c r="P44" s="77">
        <v>264</v>
      </c>
      <c r="Q44" s="75"/>
      <c r="R44" s="80" t="s">
        <v>12</v>
      </c>
      <c r="S44" s="75"/>
      <c r="T44" s="80" t="s">
        <v>12</v>
      </c>
      <c r="U44" s="75"/>
      <c r="V44" s="80" t="s">
        <v>12</v>
      </c>
    </row>
    <row r="45" spans="1:23" ht="11.25" customHeight="1">
      <c r="A45" s="79" t="s">
        <v>39</v>
      </c>
      <c r="C45" s="77">
        <v>25300</v>
      </c>
      <c r="E45" s="77">
        <v>25700</v>
      </c>
      <c r="G45" s="77">
        <v>24500</v>
      </c>
      <c r="I45" s="77">
        <v>26900</v>
      </c>
      <c r="K45" s="77">
        <v>27200</v>
      </c>
      <c r="M45" s="69"/>
      <c r="N45" s="82">
        <v>15700</v>
      </c>
      <c r="O45" s="83" t="s">
        <v>8</v>
      </c>
      <c r="P45" s="82">
        <v>15900</v>
      </c>
      <c r="Q45" s="83" t="s">
        <v>8</v>
      </c>
      <c r="R45" s="82">
        <v>15200</v>
      </c>
      <c r="S45" s="83" t="s">
        <v>8</v>
      </c>
      <c r="T45" s="82">
        <v>16700</v>
      </c>
      <c r="U45" s="83" t="s">
        <v>8</v>
      </c>
      <c r="V45" s="82">
        <v>16900</v>
      </c>
      <c r="W45" s="83"/>
    </row>
    <row r="46" spans="1:23" ht="11.25" customHeight="1">
      <c r="A46" s="79" t="s">
        <v>40</v>
      </c>
      <c r="C46" s="77">
        <v>390</v>
      </c>
      <c r="E46" s="77">
        <v>348</v>
      </c>
      <c r="G46" s="77">
        <v>16</v>
      </c>
      <c r="I46" s="80" t="s">
        <v>12</v>
      </c>
      <c r="K46" s="80" t="s">
        <v>12</v>
      </c>
      <c r="M46" s="69"/>
      <c r="N46" s="86">
        <v>242</v>
      </c>
      <c r="O46" s="75"/>
      <c r="P46" s="86">
        <v>216</v>
      </c>
      <c r="Q46" s="75"/>
      <c r="R46" s="86">
        <v>10</v>
      </c>
      <c r="S46" s="75"/>
      <c r="T46" s="87" t="s">
        <v>12</v>
      </c>
      <c r="U46" s="75"/>
      <c r="V46" s="87" t="s">
        <v>12</v>
      </c>
      <c r="W46" s="75"/>
    </row>
    <row r="47" spans="1:23" ht="11.25" customHeight="1">
      <c r="A47" s="79" t="s">
        <v>655</v>
      </c>
      <c r="C47" s="77">
        <v>80</v>
      </c>
      <c r="E47" s="77">
        <v>89</v>
      </c>
      <c r="G47" s="77">
        <v>72</v>
      </c>
      <c r="I47" s="77">
        <v>60</v>
      </c>
      <c r="J47" s="75" t="s">
        <v>9</v>
      </c>
      <c r="K47" s="77">
        <v>60</v>
      </c>
      <c r="L47" s="75" t="s">
        <v>9</v>
      </c>
      <c r="M47" s="69"/>
      <c r="N47" s="77">
        <v>24</v>
      </c>
      <c r="O47" s="75"/>
      <c r="P47" s="77">
        <v>27</v>
      </c>
      <c r="Q47" s="75"/>
      <c r="R47" s="77">
        <v>22</v>
      </c>
      <c r="S47" s="75"/>
      <c r="T47" s="77">
        <v>18</v>
      </c>
      <c r="U47" s="75" t="s">
        <v>9</v>
      </c>
      <c r="V47" s="77">
        <v>18</v>
      </c>
      <c r="W47" s="75" t="s">
        <v>9</v>
      </c>
    </row>
    <row r="48" spans="1:23" ht="11.25" customHeight="1">
      <c r="A48" s="79" t="s">
        <v>42</v>
      </c>
      <c r="C48" s="77">
        <v>244</v>
      </c>
      <c r="E48" s="77">
        <v>307</v>
      </c>
      <c r="G48" s="77">
        <v>300</v>
      </c>
      <c r="I48" s="77">
        <v>200</v>
      </c>
      <c r="J48" s="75" t="s">
        <v>8</v>
      </c>
      <c r="K48" s="77">
        <v>200</v>
      </c>
      <c r="L48" s="75" t="s">
        <v>9</v>
      </c>
      <c r="M48" s="69"/>
      <c r="N48" s="77">
        <v>127</v>
      </c>
      <c r="O48" s="75"/>
      <c r="P48" s="77">
        <v>160</v>
      </c>
      <c r="Q48" s="75"/>
      <c r="R48" s="77">
        <v>156</v>
      </c>
      <c r="S48" s="75"/>
      <c r="T48" s="77">
        <v>125</v>
      </c>
      <c r="U48" s="75" t="s">
        <v>8</v>
      </c>
      <c r="V48" s="77">
        <v>125</v>
      </c>
      <c r="W48" s="75" t="s">
        <v>9</v>
      </c>
    </row>
    <row r="49" spans="1:24" ht="11.25" customHeight="1">
      <c r="A49" s="79" t="s">
        <v>45</v>
      </c>
      <c r="C49" s="77">
        <v>8492</v>
      </c>
      <c r="E49" s="77">
        <v>6982</v>
      </c>
      <c r="G49" s="77">
        <v>6010</v>
      </c>
      <c r="I49" s="77">
        <v>6050</v>
      </c>
      <c r="J49" s="75" t="s">
        <v>8</v>
      </c>
      <c r="K49" s="77">
        <v>6700</v>
      </c>
      <c r="L49" s="75" t="s">
        <v>9</v>
      </c>
      <c r="M49" s="69"/>
      <c r="N49" s="77">
        <v>5138</v>
      </c>
      <c r="O49" s="75"/>
      <c r="P49" s="77">
        <v>4224</v>
      </c>
      <c r="Q49" s="75"/>
      <c r="R49" s="77">
        <v>3636</v>
      </c>
      <c r="S49" s="75"/>
      <c r="T49" s="77">
        <v>4320</v>
      </c>
      <c r="U49" s="75" t="s">
        <v>8</v>
      </c>
      <c r="V49" s="77">
        <v>4050</v>
      </c>
      <c r="W49" s="75" t="s">
        <v>9</v>
      </c>
    </row>
    <row r="50" spans="1:24" ht="11.25" customHeight="1">
      <c r="A50" s="79" t="s">
        <v>242</v>
      </c>
      <c r="C50" s="77">
        <v>2</v>
      </c>
      <c r="E50" s="77">
        <v>42</v>
      </c>
      <c r="G50" s="77">
        <v>9</v>
      </c>
      <c r="I50" s="77">
        <v>2</v>
      </c>
      <c r="J50" s="75" t="s">
        <v>8</v>
      </c>
      <c r="K50" s="77">
        <v>2</v>
      </c>
      <c r="M50" s="69"/>
      <c r="N50" s="77">
        <v>2</v>
      </c>
      <c r="O50" s="75"/>
      <c r="P50" s="77">
        <v>27</v>
      </c>
      <c r="Q50" s="75"/>
      <c r="R50" s="77">
        <v>6</v>
      </c>
      <c r="S50" s="75"/>
      <c r="T50" s="77">
        <v>1</v>
      </c>
      <c r="U50" s="75" t="s">
        <v>79</v>
      </c>
      <c r="V50" s="77">
        <v>2</v>
      </c>
      <c r="W50" s="75" t="s">
        <v>9</v>
      </c>
      <c r="X50" s="69"/>
    </row>
    <row r="51" spans="1:24" ht="11.25" customHeight="1">
      <c r="A51" s="79" t="s">
        <v>49</v>
      </c>
      <c r="C51" s="77">
        <v>70400</v>
      </c>
      <c r="E51" s="77">
        <v>68300</v>
      </c>
      <c r="G51" s="77">
        <v>66900</v>
      </c>
      <c r="I51" s="77">
        <v>62876</v>
      </c>
      <c r="J51" s="75" t="s">
        <v>8</v>
      </c>
      <c r="K51" s="77">
        <v>60498</v>
      </c>
      <c r="M51" s="69"/>
      <c r="N51" s="77">
        <v>44000</v>
      </c>
      <c r="O51" s="75"/>
      <c r="P51" s="77">
        <v>42700</v>
      </c>
      <c r="Q51" s="75"/>
      <c r="R51" s="77">
        <v>41800</v>
      </c>
      <c r="S51" s="75"/>
      <c r="T51" s="77">
        <v>39300</v>
      </c>
      <c r="U51" s="75"/>
      <c r="V51" s="77">
        <v>37800</v>
      </c>
      <c r="W51" s="75"/>
    </row>
    <row r="52" spans="1:24" ht="11.25" customHeight="1">
      <c r="A52" s="79" t="s">
        <v>51</v>
      </c>
      <c r="C52" s="77">
        <v>52800</v>
      </c>
      <c r="E52" s="77">
        <v>56100</v>
      </c>
      <c r="G52" s="77">
        <v>46100</v>
      </c>
      <c r="I52" s="77">
        <v>41800</v>
      </c>
      <c r="K52" s="77">
        <v>47900</v>
      </c>
      <c r="M52" s="69"/>
      <c r="N52" s="77">
        <v>33300</v>
      </c>
      <c r="O52" s="75"/>
      <c r="P52" s="77">
        <v>35400</v>
      </c>
      <c r="Q52" s="75"/>
      <c r="R52" s="77">
        <v>28800</v>
      </c>
      <c r="S52" s="75"/>
      <c r="T52" s="77">
        <v>26400</v>
      </c>
      <c r="U52" s="75"/>
      <c r="V52" s="77">
        <v>30300</v>
      </c>
      <c r="W52" s="75"/>
      <c r="X52" s="69"/>
    </row>
    <row r="53" spans="1:24" ht="12.5" customHeight="1">
      <c r="A53" s="79" t="s">
        <v>352</v>
      </c>
      <c r="C53" s="77">
        <v>10</v>
      </c>
      <c r="E53" s="77">
        <v>15</v>
      </c>
      <c r="G53" s="77">
        <v>12</v>
      </c>
      <c r="I53" s="77">
        <v>3</v>
      </c>
      <c r="J53" s="75" t="s">
        <v>8</v>
      </c>
      <c r="K53" s="77">
        <v>3</v>
      </c>
      <c r="L53" s="75" t="s">
        <v>9</v>
      </c>
      <c r="M53" s="69"/>
      <c r="N53" s="77">
        <v>4</v>
      </c>
      <c r="O53" s="75"/>
      <c r="P53" s="77">
        <v>6</v>
      </c>
      <c r="Q53" s="75"/>
      <c r="R53" s="77">
        <v>5</v>
      </c>
      <c r="S53" s="75"/>
      <c r="T53" s="77">
        <v>1</v>
      </c>
      <c r="U53" s="75" t="s">
        <v>8</v>
      </c>
      <c r="V53" s="77">
        <v>1</v>
      </c>
      <c r="W53" s="75"/>
      <c r="X53" s="69"/>
    </row>
    <row r="54" spans="1:24" ht="11.25" customHeight="1">
      <c r="A54" s="79" t="s">
        <v>52</v>
      </c>
      <c r="C54" s="77">
        <v>11198</v>
      </c>
      <c r="E54" s="77">
        <v>11256</v>
      </c>
      <c r="G54" s="77">
        <v>11716</v>
      </c>
      <c r="I54" s="77">
        <v>12000</v>
      </c>
      <c r="J54" s="75" t="s">
        <v>8</v>
      </c>
      <c r="K54" s="77">
        <v>12000</v>
      </c>
      <c r="L54" s="75" t="s">
        <v>9</v>
      </c>
      <c r="M54" s="69"/>
      <c r="N54" s="77">
        <v>7000</v>
      </c>
      <c r="O54" s="75"/>
      <c r="P54" s="77">
        <v>7000</v>
      </c>
      <c r="Q54" s="75"/>
      <c r="R54" s="77">
        <v>7300</v>
      </c>
      <c r="S54" s="75"/>
      <c r="T54" s="77">
        <v>7500</v>
      </c>
      <c r="U54" s="75" t="s">
        <v>8</v>
      </c>
      <c r="V54" s="77">
        <v>7500</v>
      </c>
      <c r="W54" s="75" t="s">
        <v>9</v>
      </c>
    </row>
    <row r="55" spans="1:24" ht="11.25" customHeight="1">
      <c r="A55" s="79" t="s">
        <v>86</v>
      </c>
      <c r="C55" s="77">
        <v>4708</v>
      </c>
      <c r="E55" s="77">
        <v>5130</v>
      </c>
      <c r="G55" s="77">
        <v>5086</v>
      </c>
      <c r="I55" s="77">
        <v>5770</v>
      </c>
      <c r="J55" s="75" t="s">
        <v>8</v>
      </c>
      <c r="K55" s="77">
        <v>9570</v>
      </c>
      <c r="M55" s="88"/>
      <c r="N55" s="77">
        <v>2495</v>
      </c>
      <c r="O55" s="75"/>
      <c r="P55" s="77">
        <v>2719</v>
      </c>
      <c r="Q55" s="75"/>
      <c r="R55" s="77">
        <v>2691</v>
      </c>
      <c r="S55" s="75"/>
      <c r="T55" s="77">
        <v>3056</v>
      </c>
      <c r="U55" s="75" t="s">
        <v>8</v>
      </c>
      <c r="V55" s="77">
        <v>5074</v>
      </c>
      <c r="W55" s="75"/>
    </row>
    <row r="56" spans="1:24" ht="11.25" customHeight="1">
      <c r="A56" s="78" t="s">
        <v>54</v>
      </c>
      <c r="C56" s="77">
        <v>2190000</v>
      </c>
      <c r="D56" s="75" t="s">
        <v>8</v>
      </c>
      <c r="E56" s="77">
        <v>2330000</v>
      </c>
      <c r="F56" s="75" t="s">
        <v>8</v>
      </c>
      <c r="G56" s="81">
        <v>2310000</v>
      </c>
      <c r="H56" s="75" t="s">
        <v>8</v>
      </c>
      <c r="I56" s="77">
        <v>2340000</v>
      </c>
      <c r="J56" s="75" t="s">
        <v>8</v>
      </c>
      <c r="K56" s="77">
        <v>2430000</v>
      </c>
      <c r="M56" s="88"/>
      <c r="N56" s="77">
        <v>1340000</v>
      </c>
      <c r="O56" s="75" t="s">
        <v>8</v>
      </c>
      <c r="P56" s="77">
        <v>1420000</v>
      </c>
      <c r="Q56" s="75" t="s">
        <v>8</v>
      </c>
      <c r="R56" s="81">
        <v>1420000</v>
      </c>
      <c r="S56" s="75" t="s">
        <v>8</v>
      </c>
      <c r="T56" s="77">
        <v>1440000</v>
      </c>
      <c r="U56" s="75" t="s">
        <v>8</v>
      </c>
      <c r="V56" s="77">
        <v>1500000</v>
      </c>
      <c r="W56" s="75"/>
    </row>
    <row r="57" spans="1:24">
      <c r="A57" s="389" t="s">
        <v>211</v>
      </c>
      <c r="B57" s="389"/>
      <c r="C57" s="389"/>
      <c r="D57" s="389"/>
      <c r="E57" s="389"/>
      <c r="F57" s="389"/>
      <c r="G57" s="389"/>
      <c r="H57" s="389"/>
      <c r="I57" s="389"/>
      <c r="J57" s="389"/>
      <c r="K57" s="389"/>
      <c r="L57" s="389"/>
    </row>
    <row r="58" spans="1:24" ht="22.5" customHeight="1">
      <c r="A58" s="388" t="s">
        <v>212</v>
      </c>
      <c r="B58" s="388"/>
      <c r="C58" s="388"/>
      <c r="D58" s="388"/>
      <c r="E58" s="388"/>
      <c r="F58" s="388"/>
      <c r="G58" s="388"/>
      <c r="H58" s="388"/>
      <c r="I58" s="388"/>
      <c r="J58" s="388"/>
      <c r="K58" s="388"/>
      <c r="L58" s="388"/>
    </row>
    <row r="59" spans="1:24" ht="22.5" customHeight="1">
      <c r="A59" s="388" t="s">
        <v>213</v>
      </c>
      <c r="B59" s="388"/>
      <c r="C59" s="388"/>
      <c r="D59" s="388"/>
      <c r="E59" s="388"/>
      <c r="F59" s="388"/>
      <c r="G59" s="388"/>
      <c r="H59" s="388"/>
      <c r="I59" s="388"/>
      <c r="J59" s="388"/>
      <c r="K59" s="388"/>
      <c r="L59" s="388"/>
    </row>
    <row r="60" spans="1:24">
      <c r="A60" s="387" t="s">
        <v>214</v>
      </c>
      <c r="B60" s="387"/>
      <c r="C60" s="387"/>
      <c r="D60" s="387"/>
      <c r="E60" s="387"/>
      <c r="F60" s="387"/>
      <c r="G60" s="387"/>
      <c r="H60" s="387"/>
      <c r="I60" s="387"/>
      <c r="J60" s="387"/>
      <c r="K60" s="387"/>
      <c r="L60" s="387"/>
    </row>
    <row r="61" spans="1:24">
      <c r="A61" s="387" t="s">
        <v>215</v>
      </c>
      <c r="B61" s="387"/>
      <c r="C61" s="387"/>
      <c r="D61" s="387"/>
      <c r="E61" s="387"/>
      <c r="F61" s="387"/>
      <c r="G61" s="387"/>
      <c r="H61" s="387"/>
      <c r="I61" s="387"/>
      <c r="J61" s="387"/>
      <c r="K61" s="387"/>
      <c r="L61" s="387"/>
    </row>
    <row r="62" spans="1:24">
      <c r="A62" s="388" t="s">
        <v>216</v>
      </c>
      <c r="B62" s="388"/>
      <c r="C62" s="388"/>
      <c r="D62" s="388"/>
      <c r="E62" s="388"/>
      <c r="F62" s="388"/>
      <c r="G62" s="388"/>
      <c r="H62" s="388"/>
      <c r="I62" s="388"/>
      <c r="J62" s="388"/>
      <c r="K62" s="388"/>
      <c r="L62" s="388"/>
    </row>
  </sheetData>
  <mergeCells count="13">
    <mergeCell ref="A61:L61"/>
    <mergeCell ref="A62:L62"/>
    <mergeCell ref="A57:L57"/>
    <mergeCell ref="A58:L58"/>
    <mergeCell ref="A59:L59"/>
    <mergeCell ref="A60:L60"/>
    <mergeCell ref="A6:B6"/>
    <mergeCell ref="N5:V5"/>
    <mergeCell ref="A1:L1"/>
    <mergeCell ref="A2:L2"/>
    <mergeCell ref="A3:L3"/>
    <mergeCell ref="A4:L4"/>
    <mergeCell ref="A5:L5"/>
  </mergeCells>
  <pageMargins left="0.5" right="0.5" top="0.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FE77-92AE-D14C-AB13-3A3DDD90BF94}">
  <dimension ref="A1:W57"/>
  <sheetViews>
    <sheetView topLeftCell="A27" workbookViewId="0">
      <selection activeCell="A45" sqref="A45:XFD45"/>
    </sheetView>
  </sheetViews>
  <sheetFormatPr baseColWidth="10" defaultRowHeight="16"/>
  <sheetData>
    <row r="1" spans="1:23">
      <c r="A1" s="91"/>
      <c r="B1" s="91"/>
      <c r="C1" s="391" t="s">
        <v>217</v>
      </c>
      <c r="D1" s="391"/>
      <c r="E1" s="391"/>
      <c r="F1" s="391"/>
      <c r="G1" s="391"/>
      <c r="H1" s="391"/>
      <c r="I1" s="391"/>
      <c r="J1" s="391"/>
      <c r="K1" s="391"/>
      <c r="L1" s="391"/>
      <c r="M1" s="92"/>
      <c r="N1" s="391" t="s">
        <v>218</v>
      </c>
      <c r="O1" s="391"/>
      <c r="P1" s="391"/>
      <c r="Q1" s="391"/>
      <c r="R1" s="391"/>
      <c r="S1" s="391"/>
      <c r="T1" s="391"/>
      <c r="U1" s="391"/>
      <c r="V1" s="391"/>
      <c r="W1" s="391"/>
    </row>
    <row r="2" spans="1:23">
      <c r="A2" s="93" t="s">
        <v>192</v>
      </c>
      <c r="B2" s="94"/>
      <c r="C2" s="95" t="s">
        <v>219</v>
      </c>
      <c r="D2" s="96"/>
      <c r="E2" s="95" t="s">
        <v>220</v>
      </c>
      <c r="F2" s="96"/>
      <c r="G2" s="95" t="s">
        <v>221</v>
      </c>
      <c r="H2" s="96"/>
      <c r="I2" s="95" t="s">
        <v>222</v>
      </c>
      <c r="J2" s="96"/>
      <c r="K2" s="95" t="s">
        <v>223</v>
      </c>
      <c r="L2" s="96"/>
      <c r="M2" s="94"/>
      <c r="N2" s="95" t="s">
        <v>219</v>
      </c>
      <c r="O2" s="96"/>
      <c r="P2" s="95" t="s">
        <v>220</v>
      </c>
      <c r="Q2" s="96"/>
      <c r="R2" s="95" t="s">
        <v>221</v>
      </c>
      <c r="S2" s="96"/>
      <c r="T2" s="95" t="s">
        <v>222</v>
      </c>
      <c r="U2" s="96"/>
      <c r="V2" s="95" t="s">
        <v>223</v>
      </c>
      <c r="W2" s="96"/>
    </row>
    <row r="3" spans="1:23">
      <c r="A3" s="97" t="s">
        <v>7</v>
      </c>
      <c r="B3" s="98"/>
      <c r="C3" s="99">
        <v>497</v>
      </c>
      <c r="D3" s="98"/>
      <c r="E3" s="99">
        <v>706</v>
      </c>
      <c r="F3" s="98"/>
      <c r="G3" s="99">
        <v>759</v>
      </c>
      <c r="H3" s="98" t="s">
        <v>8</v>
      </c>
      <c r="I3" s="99">
        <v>753</v>
      </c>
      <c r="J3" s="98" t="s">
        <v>8</v>
      </c>
      <c r="K3" s="99">
        <v>600</v>
      </c>
      <c r="L3" s="98"/>
      <c r="M3" s="100"/>
      <c r="N3" s="99">
        <v>263</v>
      </c>
      <c r="O3" s="98"/>
      <c r="P3" s="99">
        <v>374</v>
      </c>
      <c r="Q3" s="98"/>
      <c r="R3" s="99">
        <v>402</v>
      </c>
      <c r="S3" s="98" t="s">
        <v>8</v>
      </c>
      <c r="T3" s="99">
        <v>399</v>
      </c>
      <c r="U3" s="98" t="s">
        <v>8</v>
      </c>
      <c r="V3" s="99">
        <v>318</v>
      </c>
      <c r="W3" s="101"/>
    </row>
    <row r="4" spans="1:23">
      <c r="A4" s="102" t="s">
        <v>224</v>
      </c>
      <c r="B4" s="98"/>
      <c r="C4" s="99">
        <v>3401</v>
      </c>
      <c r="D4" s="98"/>
      <c r="E4" s="99">
        <v>3794</v>
      </c>
      <c r="F4" s="98"/>
      <c r="G4" s="99">
        <v>3051</v>
      </c>
      <c r="H4" s="98"/>
      <c r="I4" s="99">
        <v>2456</v>
      </c>
      <c r="J4" s="98"/>
      <c r="K4" s="99">
        <v>3551</v>
      </c>
      <c r="L4" s="98"/>
      <c r="M4" s="100"/>
      <c r="N4" s="99">
        <v>20200</v>
      </c>
      <c r="O4" s="98"/>
      <c r="P4" s="99">
        <v>2260</v>
      </c>
      <c r="Q4" s="98"/>
      <c r="R4" s="99">
        <v>1820</v>
      </c>
      <c r="S4" s="98"/>
      <c r="T4" s="99">
        <v>1460</v>
      </c>
      <c r="U4" s="98"/>
      <c r="V4" s="99">
        <v>2110</v>
      </c>
      <c r="W4" s="98"/>
    </row>
    <row r="5" spans="1:23">
      <c r="A5" s="97" t="s">
        <v>10</v>
      </c>
      <c r="B5" s="98"/>
      <c r="C5" s="99">
        <v>885357</v>
      </c>
      <c r="D5" s="98"/>
      <c r="E5" s="99">
        <v>903850</v>
      </c>
      <c r="F5" s="98" t="s">
        <v>8</v>
      </c>
      <c r="G5" s="99">
        <v>917046</v>
      </c>
      <c r="H5" s="98" t="s">
        <v>8</v>
      </c>
      <c r="I5" s="99">
        <v>911138</v>
      </c>
      <c r="J5" s="98" t="s">
        <v>8</v>
      </c>
      <c r="K5" s="99">
        <v>912399</v>
      </c>
      <c r="L5" s="98"/>
      <c r="M5" s="100"/>
      <c r="N5" s="99">
        <v>548297</v>
      </c>
      <c r="O5" s="98"/>
      <c r="P5" s="99">
        <v>560055</v>
      </c>
      <c r="Q5" s="98" t="s">
        <v>8</v>
      </c>
      <c r="R5" s="99">
        <v>567957</v>
      </c>
      <c r="S5" s="98" t="s">
        <v>8</v>
      </c>
      <c r="T5" s="99">
        <v>564141</v>
      </c>
      <c r="U5" s="98" t="s">
        <v>8</v>
      </c>
      <c r="V5" s="99">
        <v>565032</v>
      </c>
      <c r="W5" s="98"/>
    </row>
    <row r="6" spans="1:23">
      <c r="A6" s="97" t="s">
        <v>11</v>
      </c>
      <c r="B6" s="98"/>
      <c r="C6" s="99">
        <v>2982</v>
      </c>
      <c r="D6" s="98"/>
      <c r="E6" s="99">
        <v>2804</v>
      </c>
      <c r="F6" s="98"/>
      <c r="G6" s="99">
        <v>3243</v>
      </c>
      <c r="H6" s="98"/>
      <c r="I6" s="99">
        <v>3043</v>
      </c>
      <c r="J6" s="98" t="s">
        <v>8</v>
      </c>
      <c r="K6" s="99">
        <v>3036</v>
      </c>
      <c r="L6" s="98"/>
      <c r="M6" s="100"/>
      <c r="N6" s="99">
        <v>954</v>
      </c>
      <c r="O6" s="98"/>
      <c r="P6" s="99">
        <v>897</v>
      </c>
      <c r="Q6" s="98"/>
      <c r="R6" s="99">
        <v>897</v>
      </c>
      <c r="S6" s="98"/>
      <c r="T6" s="99">
        <v>843</v>
      </c>
      <c r="U6" s="98" t="s">
        <v>8</v>
      </c>
      <c r="V6" s="99">
        <v>840</v>
      </c>
      <c r="W6" s="98"/>
    </row>
    <row r="7" spans="1:23">
      <c r="A7" s="97" t="s">
        <v>225</v>
      </c>
      <c r="B7" s="98"/>
      <c r="C7" s="99">
        <v>33</v>
      </c>
      <c r="D7" s="98"/>
      <c r="E7" s="99">
        <v>38</v>
      </c>
      <c r="F7" s="98"/>
      <c r="G7" s="99">
        <v>37</v>
      </c>
      <c r="H7" s="98"/>
      <c r="I7" s="99">
        <v>15</v>
      </c>
      <c r="J7" s="98" t="s">
        <v>8</v>
      </c>
      <c r="K7" s="99">
        <v>14</v>
      </c>
      <c r="L7" s="98"/>
      <c r="M7" s="100"/>
      <c r="N7" s="99">
        <v>20</v>
      </c>
      <c r="O7" s="98"/>
      <c r="P7" s="99">
        <v>24</v>
      </c>
      <c r="Q7" s="98"/>
      <c r="R7" s="99">
        <v>23</v>
      </c>
      <c r="S7" s="98"/>
      <c r="T7" s="99">
        <v>9</v>
      </c>
      <c r="U7" s="98" t="s">
        <v>8</v>
      </c>
      <c r="V7" s="99">
        <v>9</v>
      </c>
      <c r="W7" s="98"/>
    </row>
    <row r="8" spans="1:23">
      <c r="A8" s="97" t="s">
        <v>81</v>
      </c>
      <c r="B8" s="98"/>
      <c r="C8" s="99">
        <v>1622</v>
      </c>
      <c r="D8" s="98"/>
      <c r="E8" s="99">
        <v>1380</v>
      </c>
      <c r="F8" s="98"/>
      <c r="G8" s="99">
        <v>1450</v>
      </c>
      <c r="H8" s="98"/>
      <c r="I8" s="99">
        <v>1427</v>
      </c>
      <c r="J8" s="98"/>
      <c r="K8" s="99">
        <v>1554</v>
      </c>
      <c r="L8" s="98"/>
      <c r="M8" s="100"/>
      <c r="N8" s="99">
        <v>1010</v>
      </c>
      <c r="O8" s="98"/>
      <c r="P8" s="99">
        <v>856</v>
      </c>
      <c r="Q8" s="98" t="s">
        <v>8</v>
      </c>
      <c r="R8" s="99">
        <v>900</v>
      </c>
      <c r="S8" s="98" t="s">
        <v>8</v>
      </c>
      <c r="T8" s="99">
        <v>885</v>
      </c>
      <c r="U8" s="98" t="s">
        <v>8</v>
      </c>
      <c r="V8" s="99">
        <v>963</v>
      </c>
      <c r="W8" s="98"/>
    </row>
    <row r="9" spans="1:23">
      <c r="A9" s="97" t="s">
        <v>15</v>
      </c>
      <c r="B9" s="98"/>
      <c r="C9" s="99">
        <v>453704</v>
      </c>
      <c r="D9" s="98"/>
      <c r="E9" s="99">
        <v>460000</v>
      </c>
      <c r="F9" s="98"/>
      <c r="G9" s="99">
        <v>404900</v>
      </c>
      <c r="H9" s="98"/>
      <c r="I9" s="99">
        <v>387995</v>
      </c>
      <c r="J9" s="98"/>
      <c r="K9" s="99">
        <v>430551</v>
      </c>
      <c r="L9" s="98"/>
      <c r="M9" s="100"/>
      <c r="N9" s="99">
        <v>289000</v>
      </c>
      <c r="O9" s="98"/>
      <c r="P9" s="99">
        <v>293000</v>
      </c>
      <c r="Q9" s="98"/>
      <c r="R9" s="99">
        <v>258000</v>
      </c>
      <c r="S9" s="98"/>
      <c r="T9" s="99">
        <v>246791</v>
      </c>
      <c r="U9" s="98"/>
      <c r="V9" s="99">
        <v>272861</v>
      </c>
      <c r="W9" s="98"/>
    </row>
    <row r="10" spans="1:23">
      <c r="A10" s="97" t="s">
        <v>226</v>
      </c>
      <c r="B10" s="98"/>
      <c r="C10" s="99">
        <v>50300</v>
      </c>
      <c r="D10" s="98"/>
      <c r="E10" s="99">
        <v>52755</v>
      </c>
      <c r="F10" s="98"/>
      <c r="G10" s="99">
        <v>58472</v>
      </c>
      <c r="H10" s="98"/>
      <c r="I10" s="99">
        <v>60060</v>
      </c>
      <c r="J10" s="98"/>
      <c r="K10" s="99">
        <v>57492</v>
      </c>
      <c r="L10" s="98"/>
      <c r="M10" s="100"/>
      <c r="N10" s="99">
        <v>30200</v>
      </c>
      <c r="O10" s="98" t="s">
        <v>9</v>
      </c>
      <c r="P10" s="99">
        <v>31700</v>
      </c>
      <c r="Q10" s="98" t="s">
        <v>9</v>
      </c>
      <c r="R10" s="99">
        <v>35200</v>
      </c>
      <c r="S10" s="98" t="s">
        <v>9</v>
      </c>
      <c r="T10" s="99">
        <v>36100</v>
      </c>
      <c r="U10" s="98" t="s">
        <v>9</v>
      </c>
      <c r="V10" s="99">
        <v>34500</v>
      </c>
      <c r="W10" s="98" t="s">
        <v>9</v>
      </c>
    </row>
    <row r="11" spans="1:23">
      <c r="A11" s="97" t="s">
        <v>18</v>
      </c>
      <c r="B11" s="98"/>
      <c r="C11" s="99">
        <v>15426</v>
      </c>
      <c r="D11" s="98"/>
      <c r="E11" s="99">
        <v>14013</v>
      </c>
      <c r="F11" s="98"/>
      <c r="G11" s="99">
        <v>13137</v>
      </c>
      <c r="H11" s="98"/>
      <c r="I11" s="99">
        <v>15553</v>
      </c>
      <c r="J11" s="98"/>
      <c r="K11" s="99">
        <v>17685</v>
      </c>
      <c r="L11" s="98"/>
      <c r="M11" s="100"/>
      <c r="N11" s="99">
        <v>9549</v>
      </c>
      <c r="O11" s="98"/>
      <c r="P11" s="99">
        <v>8493</v>
      </c>
      <c r="Q11" s="98"/>
      <c r="R11" s="99">
        <v>8427</v>
      </c>
      <c r="S11" s="98"/>
      <c r="T11" s="99">
        <v>9891</v>
      </c>
      <c r="U11" s="98"/>
      <c r="V11" s="99">
        <v>11163</v>
      </c>
      <c r="W11" s="98"/>
    </row>
    <row r="12" spans="1:23">
      <c r="A12" s="97" t="s">
        <v>227</v>
      </c>
      <c r="B12" s="98"/>
      <c r="C12" s="99">
        <v>345472</v>
      </c>
      <c r="D12" s="98"/>
      <c r="E12" s="99">
        <v>334790</v>
      </c>
      <c r="F12" s="98"/>
      <c r="G12" s="99">
        <v>351000</v>
      </c>
      <c r="H12" s="98"/>
      <c r="I12" s="99">
        <v>360000</v>
      </c>
      <c r="J12" s="98"/>
      <c r="K12" s="99">
        <v>394000</v>
      </c>
      <c r="L12" s="98"/>
      <c r="M12" s="100"/>
      <c r="N12" s="99">
        <v>215989</v>
      </c>
      <c r="O12" s="98"/>
      <c r="P12" s="99">
        <v>209311</v>
      </c>
      <c r="Q12" s="98"/>
      <c r="R12" s="99">
        <v>219000</v>
      </c>
      <c r="S12" s="98"/>
      <c r="T12" s="99">
        <v>225000</v>
      </c>
      <c r="U12" s="98"/>
      <c r="V12" s="99">
        <v>246000</v>
      </c>
      <c r="W12" s="98"/>
    </row>
    <row r="13" spans="1:23">
      <c r="A13" s="97" t="s">
        <v>20</v>
      </c>
      <c r="B13" s="98"/>
      <c r="C13" s="99">
        <v>713</v>
      </c>
      <c r="D13" s="98"/>
      <c r="E13" s="99">
        <v>576</v>
      </c>
      <c r="F13" s="98" t="s">
        <v>8</v>
      </c>
      <c r="G13" s="99">
        <v>667</v>
      </c>
      <c r="H13" s="98" t="s">
        <v>8</v>
      </c>
      <c r="I13" s="99">
        <v>787</v>
      </c>
      <c r="J13" s="98" t="s">
        <v>8</v>
      </c>
      <c r="K13" s="99">
        <v>681</v>
      </c>
      <c r="L13" s="98"/>
      <c r="M13" s="100"/>
      <c r="N13" s="99">
        <v>428</v>
      </c>
      <c r="O13" s="98"/>
      <c r="P13" s="99">
        <v>344</v>
      </c>
      <c r="Q13" s="98"/>
      <c r="R13" s="99">
        <v>391</v>
      </c>
      <c r="S13" s="98"/>
      <c r="T13" s="99">
        <v>382</v>
      </c>
      <c r="U13" s="98"/>
      <c r="V13" s="99">
        <v>409</v>
      </c>
      <c r="W13" s="98"/>
    </row>
    <row r="14" spans="1:23">
      <c r="A14" s="97" t="s">
        <v>228</v>
      </c>
      <c r="B14" s="98"/>
      <c r="C14" s="103" t="s">
        <v>12</v>
      </c>
      <c r="D14" s="98"/>
      <c r="E14" s="99">
        <v>40</v>
      </c>
      <c r="F14" s="98" t="s">
        <v>9</v>
      </c>
      <c r="G14" s="99">
        <v>70</v>
      </c>
      <c r="H14" s="98" t="s">
        <v>9</v>
      </c>
      <c r="I14" s="99">
        <v>70</v>
      </c>
      <c r="J14" s="98" t="s">
        <v>9</v>
      </c>
      <c r="K14" s="99">
        <v>70</v>
      </c>
      <c r="L14" s="98" t="s">
        <v>9</v>
      </c>
      <c r="M14" s="100"/>
      <c r="N14" s="103" t="s">
        <v>12</v>
      </c>
      <c r="O14" s="98"/>
      <c r="P14" s="99">
        <v>26</v>
      </c>
      <c r="Q14" s="98" t="s">
        <v>9</v>
      </c>
      <c r="R14" s="99">
        <v>46</v>
      </c>
      <c r="S14" s="98" t="s">
        <v>9</v>
      </c>
      <c r="T14" s="99">
        <v>46</v>
      </c>
      <c r="U14" s="98" t="s">
        <v>9</v>
      </c>
      <c r="V14" s="99">
        <v>46</v>
      </c>
      <c r="W14" s="98" t="s">
        <v>9</v>
      </c>
    </row>
    <row r="15" spans="1:23">
      <c r="A15" s="97" t="s">
        <v>21</v>
      </c>
      <c r="B15" s="98"/>
      <c r="C15" s="99">
        <v>565</v>
      </c>
      <c r="D15" s="98"/>
      <c r="E15" s="99">
        <v>500</v>
      </c>
      <c r="F15" s="98"/>
      <c r="G15" s="99">
        <v>600</v>
      </c>
      <c r="H15" s="98" t="s">
        <v>8</v>
      </c>
      <c r="I15" s="99">
        <v>560</v>
      </c>
      <c r="J15" s="98"/>
      <c r="K15" s="99">
        <v>560</v>
      </c>
      <c r="L15" s="98"/>
      <c r="M15" s="100"/>
      <c r="N15" s="99">
        <v>353</v>
      </c>
      <c r="O15" s="98"/>
      <c r="P15" s="99">
        <v>312</v>
      </c>
      <c r="Q15" s="98"/>
      <c r="R15" s="99">
        <v>372</v>
      </c>
      <c r="S15" s="98" t="s">
        <v>8</v>
      </c>
      <c r="T15" s="99">
        <v>347</v>
      </c>
      <c r="U15" s="98"/>
      <c r="V15" s="99">
        <v>347</v>
      </c>
      <c r="W15" s="98"/>
    </row>
    <row r="16" spans="1:23">
      <c r="A16" s="97" t="s">
        <v>243</v>
      </c>
      <c r="B16" s="98"/>
      <c r="C16" s="99">
        <v>2284</v>
      </c>
      <c r="D16" s="98"/>
      <c r="E16" s="99">
        <v>2115</v>
      </c>
      <c r="F16" s="98"/>
      <c r="G16" s="99">
        <v>1755</v>
      </c>
      <c r="H16" s="98" t="s">
        <v>8</v>
      </c>
      <c r="I16" s="99">
        <v>1700</v>
      </c>
      <c r="J16" s="98" t="s">
        <v>79</v>
      </c>
      <c r="K16" s="99">
        <v>1700</v>
      </c>
      <c r="L16" s="98" t="s">
        <v>9</v>
      </c>
      <c r="M16" s="100"/>
      <c r="N16" s="99">
        <v>566</v>
      </c>
      <c r="O16" s="98"/>
      <c r="P16" s="99">
        <v>524</v>
      </c>
      <c r="Q16" s="98"/>
      <c r="R16" s="99">
        <v>435</v>
      </c>
      <c r="S16" s="98" t="s">
        <v>8</v>
      </c>
      <c r="T16" s="99">
        <v>430</v>
      </c>
      <c r="U16" s="98" t="s">
        <v>79</v>
      </c>
      <c r="V16" s="99">
        <v>430</v>
      </c>
      <c r="W16" s="98" t="s">
        <v>9</v>
      </c>
    </row>
    <row r="17" spans="1:23">
      <c r="A17" s="97" t="s">
        <v>24</v>
      </c>
      <c r="B17" s="98"/>
      <c r="C17" s="99">
        <v>201815</v>
      </c>
      <c r="D17" s="98"/>
      <c r="E17" s="99">
        <v>204091</v>
      </c>
      <c r="F17" s="98"/>
      <c r="G17" s="99">
        <v>203052</v>
      </c>
      <c r="H17" s="98"/>
      <c r="I17" s="99">
        <v>203982</v>
      </c>
      <c r="J17" s="98" t="s">
        <v>8</v>
      </c>
      <c r="K17" s="99">
        <v>272638</v>
      </c>
      <c r="L17" s="98"/>
      <c r="M17" s="100"/>
      <c r="N17" s="99">
        <v>125000</v>
      </c>
      <c r="O17" s="98"/>
      <c r="P17" s="99">
        <v>127000</v>
      </c>
      <c r="Q17" s="98"/>
      <c r="R17" s="99">
        <v>126000</v>
      </c>
      <c r="S17" s="98"/>
      <c r="T17" s="99">
        <v>126000</v>
      </c>
      <c r="U17" s="98" t="s">
        <v>8</v>
      </c>
      <c r="V17" s="99">
        <v>169000</v>
      </c>
      <c r="W17" s="98"/>
    </row>
    <row r="18" spans="1:23">
      <c r="A18" s="97" t="s">
        <v>229</v>
      </c>
      <c r="B18" s="98"/>
      <c r="C18" s="99">
        <v>1967</v>
      </c>
      <c r="D18" s="98"/>
      <c r="E18" s="99">
        <v>1321</v>
      </c>
      <c r="F18" s="98"/>
      <c r="G18" s="99">
        <v>3450</v>
      </c>
      <c r="H18" s="98"/>
      <c r="I18" s="99">
        <v>3620</v>
      </c>
      <c r="J18" s="98"/>
      <c r="K18" s="99">
        <v>2139</v>
      </c>
      <c r="L18" s="98"/>
      <c r="M18" s="100"/>
      <c r="N18" s="99">
        <v>1100</v>
      </c>
      <c r="O18" s="98"/>
      <c r="P18" s="99">
        <v>661</v>
      </c>
      <c r="Q18" s="98"/>
      <c r="R18" s="99">
        <v>1730</v>
      </c>
      <c r="S18" s="98"/>
      <c r="T18" s="99">
        <v>1800</v>
      </c>
      <c r="U18" s="98" t="s">
        <v>8</v>
      </c>
      <c r="V18" s="99">
        <v>1070</v>
      </c>
      <c r="W18" s="98"/>
    </row>
    <row r="19" spans="1:23">
      <c r="A19" s="97" t="s">
        <v>230</v>
      </c>
      <c r="B19" s="98"/>
      <c r="C19" s="99">
        <v>33967</v>
      </c>
      <c r="D19" s="98"/>
      <c r="E19" s="99">
        <v>36435</v>
      </c>
      <c r="F19" s="98"/>
      <c r="G19" s="99">
        <v>33093</v>
      </c>
      <c r="H19" s="98"/>
      <c r="I19" s="99">
        <v>49452</v>
      </c>
      <c r="J19" s="98"/>
      <c r="K19" s="99">
        <v>72944</v>
      </c>
      <c r="L19" s="98"/>
      <c r="M19" s="100"/>
      <c r="N19" s="99">
        <v>22200</v>
      </c>
      <c r="O19" s="98"/>
      <c r="P19" s="99">
        <v>23900</v>
      </c>
      <c r="Q19" s="98"/>
      <c r="R19" s="99">
        <v>21700</v>
      </c>
      <c r="S19" s="98"/>
      <c r="T19" s="99">
        <v>32500</v>
      </c>
      <c r="U19" s="98"/>
      <c r="V19" s="99">
        <v>47900</v>
      </c>
      <c r="W19" s="98"/>
    </row>
    <row r="20" spans="1:23">
      <c r="A20" s="97" t="s">
        <v>28</v>
      </c>
      <c r="B20" s="98"/>
      <c r="C20" s="99">
        <v>38728</v>
      </c>
      <c r="D20" s="98"/>
      <c r="E20" s="99">
        <v>41877</v>
      </c>
      <c r="F20" s="98"/>
      <c r="G20" s="99">
        <v>45222</v>
      </c>
      <c r="H20" s="98"/>
      <c r="I20" s="99">
        <v>62865</v>
      </c>
      <c r="J20" s="98"/>
      <c r="K20" s="99">
        <v>64090</v>
      </c>
      <c r="L20" s="98"/>
      <c r="M20" s="100"/>
      <c r="N20" s="99">
        <v>10812</v>
      </c>
      <c r="O20" s="98"/>
      <c r="P20" s="99">
        <v>11728</v>
      </c>
      <c r="Q20" s="98"/>
      <c r="R20" s="99">
        <v>11643</v>
      </c>
      <c r="S20" s="98"/>
      <c r="T20" s="99">
        <v>12673</v>
      </c>
      <c r="U20" s="98"/>
      <c r="V20" s="99">
        <v>13121</v>
      </c>
      <c r="W20" s="98"/>
    </row>
    <row r="21" spans="1:23">
      <c r="A21" s="97" t="s">
        <v>29</v>
      </c>
      <c r="B21" s="98"/>
      <c r="C21" s="103" t="s">
        <v>12</v>
      </c>
      <c r="D21" s="98"/>
      <c r="E21" s="99">
        <v>167</v>
      </c>
      <c r="F21" s="98"/>
      <c r="G21" s="99">
        <v>161</v>
      </c>
      <c r="H21" s="98"/>
      <c r="I21" s="99">
        <v>79</v>
      </c>
      <c r="J21" s="98" t="s">
        <v>8</v>
      </c>
      <c r="K21" s="99">
        <v>80</v>
      </c>
      <c r="L21" s="98" t="s">
        <v>9</v>
      </c>
      <c r="M21" s="100"/>
      <c r="N21" s="103" t="s">
        <v>12</v>
      </c>
      <c r="O21" s="98"/>
      <c r="P21" s="99">
        <v>94</v>
      </c>
      <c r="Q21" s="98"/>
      <c r="R21" s="99">
        <v>90</v>
      </c>
      <c r="S21" s="98"/>
      <c r="T21" s="99">
        <v>44</v>
      </c>
      <c r="U21" s="98" t="s">
        <v>8</v>
      </c>
      <c r="V21" s="99">
        <v>45</v>
      </c>
      <c r="W21" s="98" t="s">
        <v>9</v>
      </c>
    </row>
    <row r="22" spans="1:23">
      <c r="A22" s="97" t="s">
        <v>231</v>
      </c>
      <c r="B22" s="98"/>
      <c r="C22" s="99">
        <v>5740</v>
      </c>
      <c r="D22" s="98"/>
      <c r="E22" s="99">
        <v>3280</v>
      </c>
      <c r="F22" s="98"/>
      <c r="G22" s="99">
        <v>2830</v>
      </c>
      <c r="H22" s="98"/>
      <c r="I22" s="99">
        <v>2580</v>
      </c>
      <c r="J22" s="98" t="s">
        <v>8</v>
      </c>
      <c r="K22" s="99">
        <v>2650</v>
      </c>
      <c r="L22" s="98"/>
      <c r="M22" s="100"/>
      <c r="N22" s="99">
        <v>3560</v>
      </c>
      <c r="O22" s="98"/>
      <c r="P22" s="99">
        <v>2030</v>
      </c>
      <c r="Q22" s="98"/>
      <c r="R22" s="99">
        <v>1750</v>
      </c>
      <c r="S22" s="98"/>
      <c r="T22" s="99">
        <v>1600</v>
      </c>
      <c r="U22" s="98" t="s">
        <v>8</v>
      </c>
      <c r="V22" s="99">
        <v>1640</v>
      </c>
      <c r="W22" s="98"/>
    </row>
    <row r="23" spans="1:23">
      <c r="A23" s="97" t="s">
        <v>31</v>
      </c>
      <c r="B23" s="98"/>
      <c r="C23" s="99">
        <v>311</v>
      </c>
      <c r="D23" s="98"/>
      <c r="E23" s="99">
        <v>383</v>
      </c>
      <c r="F23" s="98"/>
      <c r="G23" s="99">
        <v>342</v>
      </c>
      <c r="H23" s="98"/>
      <c r="I23" s="99">
        <v>575</v>
      </c>
      <c r="J23" s="98"/>
      <c r="K23" s="99">
        <v>539</v>
      </c>
      <c r="L23" s="98"/>
      <c r="M23" s="100"/>
      <c r="N23" s="99">
        <v>174</v>
      </c>
      <c r="O23" s="98"/>
      <c r="P23" s="99">
        <v>214</v>
      </c>
      <c r="Q23" s="98"/>
      <c r="R23" s="99">
        <v>192</v>
      </c>
      <c r="S23" s="98"/>
      <c r="T23" s="99">
        <v>322</v>
      </c>
      <c r="U23" s="98"/>
      <c r="V23" s="99">
        <v>302</v>
      </c>
      <c r="W23" s="98"/>
    </row>
    <row r="24" spans="1:23">
      <c r="A24" s="97" t="s">
        <v>232</v>
      </c>
      <c r="B24" s="98"/>
      <c r="C24" s="99">
        <v>250</v>
      </c>
      <c r="D24" s="98"/>
      <c r="E24" s="99">
        <v>99</v>
      </c>
      <c r="F24" s="98"/>
      <c r="G24" s="99">
        <v>470</v>
      </c>
      <c r="H24" s="98"/>
      <c r="I24" s="99">
        <v>1013</v>
      </c>
      <c r="J24" s="98"/>
      <c r="K24" s="99">
        <v>3523</v>
      </c>
      <c r="L24" s="98"/>
      <c r="M24" s="100"/>
      <c r="N24" s="99">
        <v>155</v>
      </c>
      <c r="O24" s="98"/>
      <c r="P24" s="99">
        <v>62</v>
      </c>
      <c r="Q24" s="98"/>
      <c r="R24" s="99">
        <v>292</v>
      </c>
      <c r="S24" s="98"/>
      <c r="T24" s="99">
        <v>628</v>
      </c>
      <c r="U24" s="98"/>
      <c r="V24" s="99">
        <v>2180</v>
      </c>
      <c r="W24" s="98"/>
    </row>
    <row r="25" spans="1:23">
      <c r="A25" s="97" t="s">
        <v>233</v>
      </c>
      <c r="B25" s="98"/>
      <c r="C25" s="99">
        <v>1934</v>
      </c>
      <c r="D25" s="98"/>
      <c r="E25" s="99">
        <v>3934</v>
      </c>
      <c r="F25" s="98"/>
      <c r="G25" s="99">
        <v>4429</v>
      </c>
      <c r="H25" s="98"/>
      <c r="I25" s="99">
        <v>4875</v>
      </c>
      <c r="J25" s="98"/>
      <c r="K25" s="99">
        <v>5000</v>
      </c>
      <c r="L25" s="98"/>
      <c r="M25" s="100"/>
      <c r="N25" s="99">
        <v>1210</v>
      </c>
      <c r="O25" s="98"/>
      <c r="P25" s="99">
        <v>2460</v>
      </c>
      <c r="Q25" s="98"/>
      <c r="R25" s="99">
        <v>2770</v>
      </c>
      <c r="S25" s="98"/>
      <c r="T25" s="99">
        <v>3050</v>
      </c>
      <c r="U25" s="98"/>
      <c r="V25" s="99">
        <v>3130</v>
      </c>
      <c r="W25" s="98"/>
    </row>
    <row r="26" spans="1:23">
      <c r="A26" s="97" t="s">
        <v>32</v>
      </c>
      <c r="B26" s="98"/>
      <c r="C26" s="99">
        <v>3920</v>
      </c>
      <c r="D26" s="98"/>
      <c r="E26" s="99">
        <v>3354</v>
      </c>
      <c r="F26" s="98"/>
      <c r="G26" s="99">
        <v>4160</v>
      </c>
      <c r="H26" s="98"/>
      <c r="I26" s="99">
        <v>5371</v>
      </c>
      <c r="J26" s="98"/>
      <c r="K26" s="99">
        <v>4984</v>
      </c>
      <c r="L26" s="98"/>
      <c r="M26" s="100"/>
      <c r="N26" s="99">
        <v>2450</v>
      </c>
      <c r="O26" s="98"/>
      <c r="P26" s="99">
        <v>2090</v>
      </c>
      <c r="Q26" s="98"/>
      <c r="R26" s="99">
        <v>2600</v>
      </c>
      <c r="S26" s="98"/>
      <c r="T26" s="99">
        <v>3360</v>
      </c>
      <c r="U26" s="98"/>
      <c r="V26" s="99">
        <v>3120</v>
      </c>
      <c r="W26" s="98"/>
    </row>
    <row r="27" spans="1:23">
      <c r="A27" s="97" t="s">
        <v>33</v>
      </c>
      <c r="B27" s="98"/>
      <c r="C27" s="99">
        <v>11714</v>
      </c>
      <c r="D27" s="98"/>
      <c r="E27" s="99">
        <v>10711</v>
      </c>
      <c r="F27" s="98"/>
      <c r="G27" s="99">
        <v>12200</v>
      </c>
      <c r="H27" s="98"/>
      <c r="I27" s="99">
        <v>12515</v>
      </c>
      <c r="J27" s="98"/>
      <c r="K27" s="99">
        <v>12809</v>
      </c>
      <c r="L27" s="98"/>
      <c r="M27" s="100"/>
      <c r="N27" s="99">
        <v>7320</v>
      </c>
      <c r="O27" s="98"/>
      <c r="P27" s="99">
        <v>6694</v>
      </c>
      <c r="Q27" s="98"/>
      <c r="R27" s="99">
        <v>7625</v>
      </c>
      <c r="S27" s="98"/>
      <c r="T27" s="99">
        <v>7822</v>
      </c>
      <c r="U27" s="98"/>
      <c r="V27" s="99">
        <v>8005</v>
      </c>
      <c r="W27" s="98"/>
    </row>
    <row r="28" spans="1:23">
      <c r="A28" s="97" t="s">
        <v>234</v>
      </c>
      <c r="B28" s="98"/>
      <c r="C28" s="99">
        <v>18600</v>
      </c>
      <c r="D28" s="98"/>
      <c r="E28" s="99">
        <v>22300</v>
      </c>
      <c r="F28" s="98"/>
      <c r="G28" s="99">
        <v>11300</v>
      </c>
      <c r="H28" s="98"/>
      <c r="I28" s="99">
        <v>9300</v>
      </c>
      <c r="J28" s="98" t="s">
        <v>8</v>
      </c>
      <c r="K28" s="99">
        <v>10800</v>
      </c>
      <c r="L28" s="98"/>
      <c r="M28" s="100"/>
      <c r="N28" s="99">
        <v>11713</v>
      </c>
      <c r="O28" s="98"/>
      <c r="P28" s="99">
        <v>14021</v>
      </c>
      <c r="Q28" s="98"/>
      <c r="R28" s="99">
        <v>7141</v>
      </c>
      <c r="S28" s="98"/>
      <c r="T28" s="99">
        <v>5859</v>
      </c>
      <c r="U28" s="98" t="s">
        <v>8</v>
      </c>
      <c r="V28" s="99">
        <v>6807</v>
      </c>
      <c r="W28" s="98"/>
    </row>
    <row r="29" spans="1:23">
      <c r="A29" s="97" t="s">
        <v>102</v>
      </c>
      <c r="B29" s="98"/>
      <c r="C29" s="99">
        <v>7695</v>
      </c>
      <c r="D29" s="98"/>
      <c r="E29" s="99">
        <v>6225</v>
      </c>
      <c r="F29" s="98"/>
      <c r="G29" s="99">
        <v>8572</v>
      </c>
      <c r="H29" s="98"/>
      <c r="I29" s="99">
        <v>9224</v>
      </c>
      <c r="J29" s="98"/>
      <c r="K29" s="99">
        <v>7106</v>
      </c>
      <c r="L29" s="98"/>
      <c r="M29" s="100"/>
      <c r="N29" s="99">
        <v>4620</v>
      </c>
      <c r="O29" s="98"/>
      <c r="P29" s="99">
        <v>3740</v>
      </c>
      <c r="Q29" s="98"/>
      <c r="R29" s="99">
        <v>5140</v>
      </c>
      <c r="S29" s="98"/>
      <c r="T29" s="99">
        <v>5530</v>
      </c>
      <c r="U29" s="98"/>
      <c r="V29" s="99">
        <v>4260</v>
      </c>
      <c r="W29" s="98"/>
    </row>
    <row r="30" spans="1:23">
      <c r="A30" s="97" t="s">
        <v>34</v>
      </c>
      <c r="B30" s="98"/>
      <c r="C30" s="99">
        <v>100</v>
      </c>
      <c r="D30" s="98"/>
      <c r="E30" s="99">
        <v>51</v>
      </c>
      <c r="F30" s="98"/>
      <c r="G30" s="99">
        <v>20</v>
      </c>
      <c r="H30" s="98" t="s">
        <v>8</v>
      </c>
      <c r="I30" s="99">
        <v>39</v>
      </c>
      <c r="J30" s="98" t="s">
        <v>8</v>
      </c>
      <c r="K30" s="99">
        <v>19</v>
      </c>
      <c r="L30" s="98"/>
      <c r="M30" s="100"/>
      <c r="N30" s="99">
        <v>55</v>
      </c>
      <c r="O30" s="98"/>
      <c r="P30" s="99">
        <v>28</v>
      </c>
      <c r="Q30" s="98"/>
      <c r="R30" s="99">
        <v>11</v>
      </c>
      <c r="S30" s="98" t="s">
        <v>8</v>
      </c>
      <c r="T30" s="99">
        <v>17</v>
      </c>
      <c r="U30" s="98" t="s">
        <v>8</v>
      </c>
      <c r="V30" s="99">
        <v>10</v>
      </c>
      <c r="W30" s="98"/>
    </row>
    <row r="31" spans="1:23">
      <c r="A31" s="97" t="s">
        <v>244</v>
      </c>
      <c r="B31" s="98"/>
      <c r="C31" s="99">
        <v>4008</v>
      </c>
      <c r="D31" s="98"/>
      <c r="E31" s="99">
        <v>4000</v>
      </c>
      <c r="F31" s="98"/>
      <c r="G31" s="99">
        <v>4000</v>
      </c>
      <c r="H31" s="98"/>
      <c r="I31" s="99">
        <v>4000</v>
      </c>
      <c r="J31" s="98"/>
      <c r="K31" s="99">
        <v>3960</v>
      </c>
      <c r="L31" s="98"/>
      <c r="M31" s="100"/>
      <c r="N31" s="99">
        <v>2280</v>
      </c>
      <c r="O31" s="98"/>
      <c r="P31" s="99">
        <v>2270</v>
      </c>
      <c r="Q31" s="98"/>
      <c r="R31" s="99">
        <v>2270</v>
      </c>
      <c r="S31" s="98"/>
      <c r="T31" s="99">
        <v>2270</v>
      </c>
      <c r="U31" s="98"/>
      <c r="V31" s="99">
        <v>2260</v>
      </c>
      <c r="W31" s="98"/>
    </row>
    <row r="32" spans="1:23">
      <c r="A32" s="97" t="s">
        <v>235</v>
      </c>
      <c r="B32" s="98"/>
      <c r="C32" s="99">
        <v>2</v>
      </c>
      <c r="D32" s="98"/>
      <c r="E32" s="99">
        <v>2</v>
      </c>
      <c r="F32" s="98"/>
      <c r="G32" s="103" t="s">
        <v>12</v>
      </c>
      <c r="H32" s="98"/>
      <c r="I32" s="103" t="s">
        <v>12</v>
      </c>
      <c r="J32" s="98"/>
      <c r="K32" s="103" t="s">
        <v>12</v>
      </c>
      <c r="L32" s="101"/>
      <c r="M32" s="100"/>
      <c r="N32" s="99">
        <v>1</v>
      </c>
      <c r="O32" s="98"/>
      <c r="P32" s="99">
        <v>1</v>
      </c>
      <c r="Q32" s="98"/>
      <c r="R32" s="103" t="s">
        <v>12</v>
      </c>
      <c r="S32" s="98"/>
      <c r="T32" s="103" t="s">
        <v>12</v>
      </c>
      <c r="U32" s="98"/>
      <c r="V32" s="103" t="s">
        <v>12</v>
      </c>
      <c r="W32" s="98"/>
    </row>
    <row r="33" spans="1:23">
      <c r="A33" s="97" t="s">
        <v>35</v>
      </c>
      <c r="B33" s="98"/>
      <c r="C33" s="103" t="s">
        <v>13</v>
      </c>
      <c r="D33" s="98"/>
      <c r="E33" s="103" t="s">
        <v>13</v>
      </c>
      <c r="F33" s="98"/>
      <c r="G33" s="99">
        <v>1700</v>
      </c>
      <c r="H33" s="98"/>
      <c r="I33" s="99">
        <v>1635</v>
      </c>
      <c r="J33" s="98" t="s">
        <v>8</v>
      </c>
      <c r="K33" s="99">
        <v>1573</v>
      </c>
      <c r="L33" s="98"/>
      <c r="M33" s="100"/>
      <c r="N33" s="103" t="s">
        <v>13</v>
      </c>
      <c r="O33" s="98"/>
      <c r="P33" s="103" t="s">
        <v>13</v>
      </c>
      <c r="Q33" s="98"/>
      <c r="R33" s="99">
        <v>1100</v>
      </c>
      <c r="S33" s="98"/>
      <c r="T33" s="99">
        <v>1020</v>
      </c>
      <c r="U33" s="98" t="s">
        <v>8</v>
      </c>
      <c r="V33" s="99">
        <v>983</v>
      </c>
      <c r="W33" s="98"/>
    </row>
    <row r="34" spans="1:23">
      <c r="A34" s="97" t="s">
        <v>236</v>
      </c>
      <c r="B34" s="98"/>
      <c r="C34" s="99">
        <v>616</v>
      </c>
      <c r="D34" s="98"/>
      <c r="E34" s="99">
        <v>685</v>
      </c>
      <c r="F34" s="98"/>
      <c r="G34" s="99">
        <v>522</v>
      </c>
      <c r="H34" s="98" t="s">
        <v>8</v>
      </c>
      <c r="I34" s="99">
        <v>645</v>
      </c>
      <c r="J34" s="98" t="s">
        <v>8</v>
      </c>
      <c r="K34" s="99">
        <v>806</v>
      </c>
      <c r="L34" s="98"/>
      <c r="M34" s="100"/>
      <c r="N34" s="99">
        <v>197</v>
      </c>
      <c r="O34" s="98"/>
      <c r="P34" s="99">
        <v>219</v>
      </c>
      <c r="Q34" s="98"/>
      <c r="R34" s="99">
        <v>167</v>
      </c>
      <c r="S34" s="98" t="s">
        <v>8</v>
      </c>
      <c r="T34" s="99">
        <v>206</v>
      </c>
      <c r="U34" s="98" t="s">
        <v>8</v>
      </c>
      <c r="V34" s="99">
        <v>258</v>
      </c>
      <c r="W34" s="98"/>
    </row>
    <row r="35" spans="1:23">
      <c r="A35" s="97" t="s">
        <v>36</v>
      </c>
      <c r="B35" s="98"/>
      <c r="C35" s="99">
        <v>13100</v>
      </c>
      <c r="D35" s="98"/>
      <c r="E35" s="99">
        <v>14200</v>
      </c>
      <c r="F35" s="98"/>
      <c r="G35" s="99">
        <v>15100</v>
      </c>
      <c r="H35" s="98"/>
      <c r="I35" s="99">
        <v>13300</v>
      </c>
      <c r="J35" s="98"/>
      <c r="K35" s="99">
        <v>18100</v>
      </c>
      <c r="L35" s="98"/>
      <c r="M35" s="100"/>
      <c r="N35" s="99">
        <v>8806</v>
      </c>
      <c r="O35" s="98"/>
      <c r="P35" s="99">
        <v>9534</v>
      </c>
      <c r="Q35" s="98"/>
      <c r="R35" s="99">
        <v>10120</v>
      </c>
      <c r="S35" s="98"/>
      <c r="T35" s="99">
        <v>8894</v>
      </c>
      <c r="U35" s="98"/>
      <c r="V35" s="99">
        <v>12149</v>
      </c>
      <c r="W35" s="98"/>
    </row>
    <row r="36" spans="1:23">
      <c r="A36" s="97" t="s">
        <v>237</v>
      </c>
      <c r="B36" s="98"/>
      <c r="C36" s="103" t="s">
        <v>12</v>
      </c>
      <c r="D36" s="98"/>
      <c r="E36" s="103" t="s">
        <v>12</v>
      </c>
      <c r="F36" s="98"/>
      <c r="G36" s="103" t="s">
        <v>12</v>
      </c>
      <c r="H36" s="98"/>
      <c r="I36" s="99">
        <v>43</v>
      </c>
      <c r="J36" s="98"/>
      <c r="K36" s="99">
        <v>68</v>
      </c>
      <c r="L36" s="98"/>
      <c r="M36" s="100"/>
      <c r="N36" s="103" t="s">
        <v>12</v>
      </c>
      <c r="O36" s="98"/>
      <c r="P36" s="103" t="s">
        <v>12</v>
      </c>
      <c r="Q36" s="98"/>
      <c r="R36" s="103" t="s">
        <v>12</v>
      </c>
      <c r="S36" s="98"/>
      <c r="T36" s="99">
        <v>27</v>
      </c>
      <c r="U36" s="98"/>
      <c r="V36" s="99">
        <v>43</v>
      </c>
      <c r="W36" s="98"/>
    </row>
    <row r="37" spans="1:23">
      <c r="A37" s="97" t="s">
        <v>238</v>
      </c>
      <c r="B37" s="98"/>
      <c r="C37" s="99">
        <v>95042</v>
      </c>
      <c r="D37" s="98"/>
      <c r="E37" s="99">
        <v>96063</v>
      </c>
      <c r="F37" s="98"/>
      <c r="G37" s="99">
        <v>97531</v>
      </c>
      <c r="H37" s="98"/>
      <c r="I37" s="99">
        <v>100015</v>
      </c>
      <c r="J37" s="98"/>
      <c r="K37" s="99">
        <v>95977</v>
      </c>
      <c r="L37" s="98"/>
      <c r="M37" s="100"/>
      <c r="N37" s="99">
        <v>56074</v>
      </c>
      <c r="O37" s="98"/>
      <c r="P37" s="99">
        <v>56700</v>
      </c>
      <c r="Q37" s="98"/>
      <c r="R37" s="99">
        <v>64287</v>
      </c>
      <c r="S37" s="98"/>
      <c r="T37" s="99">
        <v>69500</v>
      </c>
      <c r="U37" s="98"/>
      <c r="V37" s="99">
        <v>66700</v>
      </c>
      <c r="W37" s="98"/>
    </row>
    <row r="38" spans="1:23">
      <c r="A38" s="97" t="s">
        <v>239</v>
      </c>
      <c r="B38" s="98"/>
      <c r="C38" s="99">
        <v>6985</v>
      </c>
      <c r="D38" s="98"/>
      <c r="E38" s="99">
        <v>923</v>
      </c>
      <c r="F38" s="98"/>
      <c r="G38" s="99">
        <v>171</v>
      </c>
      <c r="H38" s="98"/>
      <c r="I38" s="99">
        <v>6100</v>
      </c>
      <c r="J38" s="98"/>
      <c r="K38" s="99">
        <v>6100</v>
      </c>
      <c r="L38" s="98" t="s">
        <v>9</v>
      </c>
      <c r="M38" s="100"/>
      <c r="N38" s="99">
        <v>4050</v>
      </c>
      <c r="O38" s="98"/>
      <c r="P38" s="99">
        <v>535</v>
      </c>
      <c r="Q38" s="98"/>
      <c r="R38" s="99">
        <v>97</v>
      </c>
      <c r="S38" s="98"/>
      <c r="T38" s="99">
        <v>3500</v>
      </c>
      <c r="U38" s="98"/>
      <c r="V38" s="99">
        <v>3500</v>
      </c>
      <c r="W38" s="98" t="s">
        <v>9</v>
      </c>
    </row>
    <row r="39" spans="1:23">
      <c r="A39" s="97" t="s">
        <v>240</v>
      </c>
      <c r="B39" s="98"/>
      <c r="C39" s="99">
        <v>75091</v>
      </c>
      <c r="D39" s="98"/>
      <c r="E39" s="99">
        <v>74273</v>
      </c>
      <c r="F39" s="98" t="s">
        <v>8</v>
      </c>
      <c r="G39" s="99">
        <v>72407</v>
      </c>
      <c r="H39" s="98"/>
      <c r="I39" s="99">
        <v>55635</v>
      </c>
      <c r="J39" s="98"/>
      <c r="K39" s="99">
        <v>73091</v>
      </c>
      <c r="L39" s="98"/>
      <c r="M39" s="100"/>
      <c r="N39" s="99">
        <v>47600</v>
      </c>
      <c r="O39" s="98"/>
      <c r="P39" s="99">
        <v>47200</v>
      </c>
      <c r="Q39" s="98"/>
      <c r="R39" s="99">
        <v>46100</v>
      </c>
      <c r="S39" s="98"/>
      <c r="T39" s="99">
        <v>35400</v>
      </c>
      <c r="U39" s="98"/>
      <c r="V39" s="99">
        <v>46500</v>
      </c>
      <c r="W39" s="98"/>
    </row>
    <row r="40" spans="1:23">
      <c r="A40" s="97" t="s">
        <v>39</v>
      </c>
      <c r="B40" s="98"/>
      <c r="C40" s="99">
        <v>31077</v>
      </c>
      <c r="D40" s="98" t="s">
        <v>8</v>
      </c>
      <c r="E40" s="99">
        <v>34876</v>
      </c>
      <c r="F40" s="98" t="s">
        <v>8</v>
      </c>
      <c r="G40" s="99">
        <v>38235</v>
      </c>
      <c r="H40" s="98" t="s">
        <v>8</v>
      </c>
      <c r="I40" s="99">
        <v>38619</v>
      </c>
      <c r="J40" s="98" t="s">
        <v>8</v>
      </c>
      <c r="K40" s="99">
        <v>40216</v>
      </c>
      <c r="L40" s="98"/>
      <c r="M40" s="100"/>
      <c r="N40" s="99">
        <v>22100</v>
      </c>
      <c r="O40" s="98" t="s">
        <v>8</v>
      </c>
      <c r="P40" s="99">
        <v>24800</v>
      </c>
      <c r="Q40" s="98" t="s">
        <v>8</v>
      </c>
      <c r="R40" s="99">
        <v>27100</v>
      </c>
      <c r="S40" s="98" t="s">
        <v>8</v>
      </c>
      <c r="T40" s="99">
        <v>27400</v>
      </c>
      <c r="U40" s="98" t="s">
        <v>8</v>
      </c>
      <c r="V40" s="99">
        <v>28600</v>
      </c>
      <c r="W40" s="98"/>
    </row>
    <row r="41" spans="1:23">
      <c r="A41" s="97" t="s">
        <v>40</v>
      </c>
      <c r="B41" s="98"/>
      <c r="C41" s="104" t="s">
        <v>241</v>
      </c>
      <c r="D41" s="98"/>
      <c r="E41" s="103" t="s">
        <v>12</v>
      </c>
      <c r="F41" s="98"/>
      <c r="G41" s="99">
        <v>18</v>
      </c>
      <c r="H41" s="98"/>
      <c r="I41" s="99">
        <v>113</v>
      </c>
      <c r="J41" s="98" t="s">
        <v>8</v>
      </c>
      <c r="K41" s="99">
        <v>113</v>
      </c>
      <c r="L41" s="98"/>
      <c r="M41" s="100"/>
      <c r="N41" s="104" t="s">
        <v>241</v>
      </c>
      <c r="O41" s="98"/>
      <c r="P41" s="103" t="s">
        <v>12</v>
      </c>
      <c r="Q41" s="98"/>
      <c r="R41" s="99">
        <v>11</v>
      </c>
      <c r="S41" s="98"/>
      <c r="T41" s="99">
        <v>74</v>
      </c>
      <c r="U41" s="98" t="s">
        <v>8</v>
      </c>
      <c r="V41" s="99">
        <v>70</v>
      </c>
      <c r="W41" s="98"/>
    </row>
    <row r="42" spans="1:23">
      <c r="A42" s="97" t="s">
        <v>245</v>
      </c>
      <c r="B42" s="98"/>
      <c r="C42" s="99">
        <v>60</v>
      </c>
      <c r="D42" s="98"/>
      <c r="E42" s="99">
        <v>60</v>
      </c>
      <c r="F42" s="98"/>
      <c r="G42" s="99">
        <v>60</v>
      </c>
      <c r="H42" s="98"/>
      <c r="I42" s="99">
        <v>60</v>
      </c>
      <c r="J42" s="98"/>
      <c r="K42" s="99">
        <v>60</v>
      </c>
      <c r="L42" s="98"/>
      <c r="M42" s="100"/>
      <c r="N42" s="99">
        <v>18</v>
      </c>
      <c r="O42" s="98"/>
      <c r="P42" s="99">
        <v>18</v>
      </c>
      <c r="Q42" s="98"/>
      <c r="R42" s="99">
        <v>18</v>
      </c>
      <c r="S42" s="98"/>
      <c r="T42" s="99">
        <v>18</v>
      </c>
      <c r="U42" s="98"/>
      <c r="V42" s="99">
        <v>18</v>
      </c>
      <c r="W42" s="98"/>
    </row>
    <row r="43" spans="1:23">
      <c r="A43" s="97" t="s">
        <v>42</v>
      </c>
      <c r="B43" s="98"/>
      <c r="C43" s="99">
        <v>198</v>
      </c>
      <c r="D43" s="98" t="s">
        <v>8</v>
      </c>
      <c r="E43" s="99">
        <v>176</v>
      </c>
      <c r="F43" s="98" t="s">
        <v>8</v>
      </c>
      <c r="G43" s="99">
        <v>187</v>
      </c>
      <c r="H43" s="98" t="s">
        <v>8</v>
      </c>
      <c r="I43" s="99">
        <v>173</v>
      </c>
      <c r="J43" s="98" t="s">
        <v>8</v>
      </c>
      <c r="K43" s="99">
        <v>266</v>
      </c>
      <c r="L43" s="98"/>
      <c r="M43" s="100"/>
      <c r="N43" s="99">
        <v>124</v>
      </c>
      <c r="O43" s="98" t="s">
        <v>8</v>
      </c>
      <c r="P43" s="99">
        <v>110</v>
      </c>
      <c r="Q43" s="98" t="s">
        <v>8</v>
      </c>
      <c r="R43" s="99">
        <v>117</v>
      </c>
      <c r="S43" s="98" t="s">
        <v>8</v>
      </c>
      <c r="T43" s="99">
        <v>108</v>
      </c>
      <c r="U43" s="98" t="s">
        <v>8</v>
      </c>
      <c r="V43" s="99">
        <v>166</v>
      </c>
      <c r="W43" s="98"/>
    </row>
    <row r="44" spans="1:23">
      <c r="A44" s="97" t="s">
        <v>45</v>
      </c>
      <c r="B44" s="98"/>
      <c r="C44" s="99">
        <v>9992</v>
      </c>
      <c r="D44" s="98"/>
      <c r="E44" s="99">
        <v>9550</v>
      </c>
      <c r="F44" s="98"/>
      <c r="G44" s="99">
        <v>16382</v>
      </c>
      <c r="H44" s="98"/>
      <c r="I44" s="99">
        <v>21455</v>
      </c>
      <c r="J44" s="98" t="s">
        <v>8</v>
      </c>
      <c r="K44" s="99">
        <v>16051</v>
      </c>
      <c r="L44" s="98"/>
      <c r="M44" s="100"/>
      <c r="N44" s="99">
        <v>6050</v>
      </c>
      <c r="O44" s="98"/>
      <c r="P44" s="99">
        <v>5777</v>
      </c>
      <c r="Q44" s="98"/>
      <c r="R44" s="99">
        <v>9110</v>
      </c>
      <c r="S44" s="98"/>
      <c r="T44" s="99">
        <v>13000</v>
      </c>
      <c r="U44" s="98" t="s">
        <v>8</v>
      </c>
      <c r="V44" s="99">
        <v>9710</v>
      </c>
      <c r="W44" s="98"/>
    </row>
    <row r="45" spans="1:23">
      <c r="A45" s="97" t="s">
        <v>242</v>
      </c>
      <c r="B45" s="98"/>
      <c r="C45" s="99">
        <v>2</v>
      </c>
      <c r="D45" s="98"/>
      <c r="E45" s="99">
        <v>5</v>
      </c>
      <c r="F45" s="98"/>
      <c r="G45" s="103" t="s">
        <v>12</v>
      </c>
      <c r="H45" s="98"/>
      <c r="I45" s="103" t="s">
        <v>12</v>
      </c>
      <c r="J45" s="98"/>
      <c r="K45" s="103" t="s">
        <v>12</v>
      </c>
      <c r="L45" s="98"/>
      <c r="M45" s="100"/>
      <c r="N45" s="99">
        <v>2</v>
      </c>
      <c r="O45" s="98"/>
      <c r="P45" s="99">
        <v>3</v>
      </c>
      <c r="Q45" s="98"/>
      <c r="R45" s="103" t="s">
        <v>12</v>
      </c>
      <c r="S45" s="98"/>
      <c r="T45" s="103" t="s">
        <v>12</v>
      </c>
      <c r="U45" s="98"/>
      <c r="V45" s="103" t="s">
        <v>12</v>
      </c>
      <c r="W45" s="98"/>
    </row>
    <row r="46" spans="1:23">
      <c r="A46" s="97" t="s">
        <v>246</v>
      </c>
      <c r="B46" s="98"/>
      <c r="C46" s="99">
        <v>60574</v>
      </c>
      <c r="D46" s="98"/>
      <c r="E46" s="99">
        <v>60549</v>
      </c>
      <c r="F46" s="98"/>
      <c r="G46" s="99">
        <v>63205</v>
      </c>
      <c r="H46" s="98"/>
      <c r="I46" s="99">
        <v>78838</v>
      </c>
      <c r="J46" s="98"/>
      <c r="K46" s="99">
        <v>83845</v>
      </c>
      <c r="L46" s="98"/>
      <c r="M46" s="100"/>
      <c r="N46" s="99">
        <v>37900</v>
      </c>
      <c r="O46" s="98"/>
      <c r="P46" s="99">
        <v>37800</v>
      </c>
      <c r="Q46" s="98"/>
      <c r="R46" s="99">
        <v>39500</v>
      </c>
      <c r="S46" s="98"/>
      <c r="T46" s="99">
        <v>49300</v>
      </c>
      <c r="U46" s="98"/>
      <c r="V46" s="99">
        <v>52400</v>
      </c>
      <c r="W46" s="98"/>
    </row>
    <row r="47" spans="1:23">
      <c r="A47" s="97" t="s">
        <v>51</v>
      </c>
      <c r="B47" s="98"/>
      <c r="C47" s="99">
        <v>47900</v>
      </c>
      <c r="D47" s="98"/>
      <c r="E47" s="99">
        <v>49500</v>
      </c>
      <c r="F47" s="98"/>
      <c r="G47" s="99">
        <v>46900</v>
      </c>
      <c r="H47" s="98"/>
      <c r="I47" s="99">
        <v>38100</v>
      </c>
      <c r="J47" s="98"/>
      <c r="K47" s="99">
        <v>47500</v>
      </c>
      <c r="L47" s="98"/>
      <c r="M47" s="100"/>
      <c r="N47" s="99">
        <v>30300</v>
      </c>
      <c r="O47" s="98"/>
      <c r="P47" s="99">
        <v>31300</v>
      </c>
      <c r="Q47" s="98"/>
      <c r="R47" s="99">
        <v>29800</v>
      </c>
      <c r="S47" s="98"/>
      <c r="T47" s="99">
        <v>24100</v>
      </c>
      <c r="U47" s="98"/>
      <c r="V47" s="99">
        <v>30100</v>
      </c>
      <c r="W47" s="98"/>
    </row>
    <row r="48" spans="1:23">
      <c r="A48" s="97" t="s">
        <v>247</v>
      </c>
      <c r="B48" s="98"/>
      <c r="C48" s="99">
        <v>3</v>
      </c>
      <c r="D48" s="98"/>
      <c r="E48" s="99">
        <v>6</v>
      </c>
      <c r="F48" s="98"/>
      <c r="G48" s="99">
        <v>6</v>
      </c>
      <c r="H48" s="98"/>
      <c r="I48" s="99">
        <v>3</v>
      </c>
      <c r="J48" s="98"/>
      <c r="K48" s="99">
        <v>8</v>
      </c>
      <c r="L48" s="98"/>
      <c r="M48" s="100"/>
      <c r="N48" s="99">
        <v>2</v>
      </c>
      <c r="O48" s="98" t="s">
        <v>8</v>
      </c>
      <c r="P48" s="99">
        <v>4</v>
      </c>
      <c r="Q48" s="98" t="s">
        <v>8</v>
      </c>
      <c r="R48" s="99">
        <v>4</v>
      </c>
      <c r="S48" s="98" t="s">
        <v>8</v>
      </c>
      <c r="T48" s="99">
        <v>2</v>
      </c>
      <c r="U48" s="98" t="s">
        <v>8</v>
      </c>
      <c r="V48" s="99">
        <v>5</v>
      </c>
      <c r="W48" s="98"/>
    </row>
    <row r="49" spans="1:23">
      <c r="A49" s="97" t="s">
        <v>52</v>
      </c>
      <c r="B49" s="98"/>
      <c r="C49" s="99">
        <v>4005</v>
      </c>
      <c r="D49" s="98"/>
      <c r="E49" s="99">
        <v>2474</v>
      </c>
      <c r="F49" s="98"/>
      <c r="G49" s="99">
        <v>1096</v>
      </c>
      <c r="H49" s="98"/>
      <c r="I49" s="99">
        <v>780</v>
      </c>
      <c r="J49" s="98"/>
      <c r="K49" s="99">
        <v>2257</v>
      </c>
      <c r="L49" s="98"/>
      <c r="M49" s="100"/>
      <c r="N49" s="99">
        <v>2500</v>
      </c>
      <c r="O49" s="98"/>
      <c r="P49" s="99">
        <v>1550</v>
      </c>
      <c r="Q49" s="98"/>
      <c r="R49" s="99">
        <v>685</v>
      </c>
      <c r="S49" s="98"/>
      <c r="T49" s="99">
        <v>487</v>
      </c>
      <c r="U49" s="98"/>
      <c r="V49" s="99">
        <v>1410</v>
      </c>
      <c r="W49" s="98"/>
    </row>
    <row r="50" spans="1:23">
      <c r="A50" s="97" t="s">
        <v>86</v>
      </c>
      <c r="B50" s="98"/>
      <c r="C50" s="105">
        <v>5515</v>
      </c>
      <c r="D50" s="96"/>
      <c r="E50" s="105">
        <v>5588</v>
      </c>
      <c r="F50" s="96"/>
      <c r="G50" s="105">
        <v>6106</v>
      </c>
      <c r="H50" s="96"/>
      <c r="I50" s="105">
        <v>3560</v>
      </c>
      <c r="J50" s="96" t="s">
        <v>8</v>
      </c>
      <c r="K50" s="105">
        <v>3651</v>
      </c>
      <c r="L50" s="96"/>
      <c r="M50" s="100"/>
      <c r="N50" s="105">
        <v>2920</v>
      </c>
      <c r="O50" s="96"/>
      <c r="P50" s="105">
        <v>2962</v>
      </c>
      <c r="Q50" s="96"/>
      <c r="R50" s="105">
        <v>3236</v>
      </c>
      <c r="S50" s="96"/>
      <c r="T50" s="105">
        <v>1890</v>
      </c>
      <c r="U50" s="96" t="s">
        <v>8</v>
      </c>
      <c r="V50" s="105">
        <v>1940</v>
      </c>
      <c r="W50" s="96"/>
    </row>
    <row r="51" spans="1:23">
      <c r="A51" s="106" t="s">
        <v>54</v>
      </c>
      <c r="B51" s="98"/>
      <c r="C51" s="107">
        <v>2440000</v>
      </c>
      <c r="D51" s="98"/>
      <c r="E51" s="107">
        <v>2460000</v>
      </c>
      <c r="F51" s="98" t="s">
        <v>8</v>
      </c>
      <c r="G51" s="107">
        <v>2450000</v>
      </c>
      <c r="H51" s="98"/>
      <c r="I51" s="107">
        <v>2470000</v>
      </c>
      <c r="J51" s="98"/>
      <c r="K51" s="107">
        <v>2680000</v>
      </c>
      <c r="L51" s="108"/>
      <c r="M51" s="109"/>
      <c r="N51" s="110">
        <v>1530000</v>
      </c>
      <c r="O51" s="111"/>
      <c r="P51" s="110">
        <v>1520000</v>
      </c>
      <c r="Q51" s="111"/>
      <c r="R51" s="110">
        <v>1520000</v>
      </c>
      <c r="S51" s="111"/>
      <c r="T51" s="110">
        <v>1530000</v>
      </c>
      <c r="U51" s="111" t="s">
        <v>8</v>
      </c>
      <c r="V51" s="110">
        <v>1650000</v>
      </c>
      <c r="W51" s="111"/>
    </row>
    <row r="52" spans="1:23">
      <c r="A52" s="392" t="s">
        <v>248</v>
      </c>
      <c r="B52" s="392"/>
      <c r="C52" s="392"/>
      <c r="D52" s="392"/>
      <c r="E52" s="392"/>
      <c r="F52" s="392"/>
      <c r="G52" s="392"/>
      <c r="H52" s="392"/>
      <c r="I52" s="392"/>
      <c r="J52" s="392"/>
      <c r="K52" s="392"/>
      <c r="L52" s="392"/>
      <c r="M52" s="392"/>
      <c r="N52" s="392"/>
      <c r="O52" s="392"/>
      <c r="P52" s="392"/>
      <c r="Q52" s="392"/>
      <c r="R52" s="392"/>
      <c r="S52" s="392"/>
      <c r="T52" s="392"/>
      <c r="U52" s="392"/>
      <c r="V52" s="392"/>
      <c r="W52" s="392"/>
    </row>
    <row r="53" spans="1:23">
      <c r="A53" s="393" t="s">
        <v>249</v>
      </c>
      <c r="B53" s="393"/>
      <c r="C53" s="393"/>
      <c r="D53" s="393"/>
      <c r="E53" s="393"/>
      <c r="F53" s="393"/>
      <c r="G53" s="393"/>
      <c r="H53" s="393"/>
      <c r="I53" s="393"/>
      <c r="J53" s="393"/>
      <c r="K53" s="393"/>
      <c r="L53" s="393"/>
      <c r="M53" s="393"/>
      <c r="N53" s="393"/>
      <c r="O53" s="393"/>
      <c r="P53" s="393"/>
      <c r="Q53" s="393"/>
      <c r="R53" s="393"/>
      <c r="S53" s="393"/>
      <c r="T53" s="393"/>
      <c r="U53" s="393"/>
      <c r="V53" s="393"/>
      <c r="W53" s="393"/>
    </row>
    <row r="54" spans="1:23">
      <c r="A54" s="390" t="s">
        <v>250</v>
      </c>
      <c r="B54" s="390"/>
      <c r="C54" s="390"/>
      <c r="D54" s="390"/>
      <c r="E54" s="390"/>
      <c r="F54" s="390"/>
      <c r="G54" s="390"/>
      <c r="H54" s="390"/>
      <c r="I54" s="390"/>
      <c r="J54" s="390"/>
      <c r="K54" s="390"/>
      <c r="L54" s="390"/>
      <c r="M54" s="390"/>
      <c r="N54" s="390"/>
      <c r="O54" s="390"/>
      <c r="P54" s="390"/>
      <c r="Q54" s="390"/>
      <c r="R54" s="390"/>
      <c r="S54" s="390"/>
      <c r="T54" s="390"/>
      <c r="U54" s="390"/>
      <c r="V54" s="390"/>
      <c r="W54" s="390"/>
    </row>
    <row r="55" spans="1:23">
      <c r="A55" s="390" t="s">
        <v>251</v>
      </c>
      <c r="B55" s="390"/>
      <c r="C55" s="390"/>
      <c r="D55" s="390"/>
      <c r="E55" s="390"/>
      <c r="F55" s="390"/>
      <c r="G55" s="390"/>
      <c r="H55" s="390"/>
      <c r="I55" s="390"/>
      <c r="J55" s="390"/>
      <c r="K55" s="390"/>
      <c r="L55" s="390"/>
      <c r="M55" s="390"/>
      <c r="N55" s="390"/>
      <c r="O55" s="390"/>
      <c r="P55" s="390"/>
      <c r="Q55" s="390"/>
      <c r="R55" s="390"/>
      <c r="S55" s="390"/>
      <c r="T55" s="390"/>
      <c r="U55" s="390"/>
      <c r="V55" s="390"/>
      <c r="W55" s="390"/>
    </row>
    <row r="56" spans="1:23">
      <c r="A56" s="390" t="s">
        <v>252</v>
      </c>
      <c r="B56" s="390"/>
      <c r="C56" s="390"/>
      <c r="D56" s="390"/>
      <c r="E56" s="390"/>
      <c r="F56" s="390"/>
      <c r="G56" s="390"/>
      <c r="H56" s="390"/>
      <c r="I56" s="390"/>
      <c r="J56" s="390"/>
      <c r="K56" s="390"/>
      <c r="L56" s="390"/>
      <c r="M56" s="390"/>
      <c r="N56" s="390"/>
      <c r="O56" s="390"/>
      <c r="P56" s="390"/>
      <c r="Q56" s="390"/>
      <c r="R56" s="390"/>
      <c r="S56" s="390"/>
      <c r="T56" s="390"/>
      <c r="U56" s="390"/>
      <c r="V56" s="390"/>
      <c r="W56" s="390"/>
    </row>
    <row r="57" spans="1:23">
      <c r="A57" s="390" t="s">
        <v>253</v>
      </c>
      <c r="B57" s="390"/>
      <c r="C57" s="390"/>
      <c r="D57" s="390"/>
      <c r="E57" s="390"/>
      <c r="F57" s="390"/>
      <c r="G57" s="390"/>
      <c r="H57" s="390"/>
      <c r="I57" s="390"/>
      <c r="J57" s="390"/>
      <c r="K57" s="390"/>
      <c r="L57" s="390"/>
      <c r="M57" s="390"/>
      <c r="N57" s="390"/>
      <c r="O57" s="390"/>
      <c r="P57" s="390"/>
      <c r="Q57" s="390"/>
      <c r="R57" s="390"/>
      <c r="S57" s="390"/>
      <c r="T57" s="390"/>
      <c r="U57" s="390"/>
      <c r="V57" s="390"/>
      <c r="W57" s="390"/>
    </row>
  </sheetData>
  <mergeCells count="8">
    <mergeCell ref="A56:W56"/>
    <mergeCell ref="A57:W57"/>
    <mergeCell ref="C1:L1"/>
    <mergeCell ref="N1:W1"/>
    <mergeCell ref="A52:W52"/>
    <mergeCell ref="A53:W53"/>
    <mergeCell ref="A54:W54"/>
    <mergeCell ref="A55:W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93C1-0156-A246-8152-571B155E4882}">
  <sheetPr transitionEvaluation="1"/>
  <dimension ref="A1:M114"/>
  <sheetViews>
    <sheetView defaultGridColor="0" colorId="22" zoomScale="141" zoomScaleNormal="87" workbookViewId="0">
      <selection activeCell="A56" sqref="A56"/>
    </sheetView>
  </sheetViews>
  <sheetFormatPr baseColWidth="10" defaultColWidth="12.5" defaultRowHeight="16"/>
  <cols>
    <col min="1" max="1" width="29.33203125" style="113" customWidth="1"/>
    <col min="2" max="2" width="2.33203125" style="113" customWidth="1"/>
    <col min="3" max="3" width="10" style="113" customWidth="1"/>
    <col min="4" max="4" width="2.33203125" style="113" customWidth="1"/>
    <col min="5" max="5" width="11.33203125" style="113" customWidth="1"/>
    <col min="6" max="6" width="2.33203125" style="113" customWidth="1"/>
    <col min="7" max="7" width="11.33203125" style="113" customWidth="1"/>
    <col min="8" max="8" width="2.33203125" style="113" customWidth="1"/>
    <col min="9" max="9" width="11.33203125" style="113" customWidth="1"/>
    <col min="10" max="10" width="2.33203125" style="113" customWidth="1"/>
    <col min="11" max="11" width="11.33203125" style="113" customWidth="1"/>
    <col min="12" max="12" width="2.33203125" style="113" customWidth="1"/>
    <col min="13" max="256" width="12.5" style="113"/>
    <col min="257" max="257" width="29.33203125" style="113" customWidth="1"/>
    <col min="258" max="258" width="2.33203125" style="113" customWidth="1"/>
    <col min="259" max="259" width="10" style="113" customWidth="1"/>
    <col min="260" max="260" width="2.33203125" style="113" customWidth="1"/>
    <col min="261" max="261" width="11.33203125" style="113" customWidth="1"/>
    <col min="262" max="262" width="2.33203125" style="113" customWidth="1"/>
    <col min="263" max="263" width="11.33203125" style="113" customWidth="1"/>
    <col min="264" max="264" width="2.33203125" style="113" customWidth="1"/>
    <col min="265" max="265" width="11.33203125" style="113" customWidth="1"/>
    <col min="266" max="266" width="2.33203125" style="113" customWidth="1"/>
    <col min="267" max="267" width="11.33203125" style="113" customWidth="1"/>
    <col min="268" max="268" width="2.33203125" style="113" customWidth="1"/>
    <col min="269" max="512" width="12.5" style="113"/>
    <col min="513" max="513" width="29.33203125" style="113" customWidth="1"/>
    <col min="514" max="514" width="2.33203125" style="113" customWidth="1"/>
    <col min="515" max="515" width="10" style="113" customWidth="1"/>
    <col min="516" max="516" width="2.33203125" style="113" customWidth="1"/>
    <col min="517" max="517" width="11.33203125" style="113" customWidth="1"/>
    <col min="518" max="518" width="2.33203125" style="113" customWidth="1"/>
    <col min="519" max="519" width="11.33203125" style="113" customWidth="1"/>
    <col min="520" max="520" width="2.33203125" style="113" customWidth="1"/>
    <col min="521" max="521" width="11.33203125" style="113" customWidth="1"/>
    <col min="522" max="522" width="2.33203125" style="113" customWidth="1"/>
    <col min="523" max="523" width="11.33203125" style="113" customWidth="1"/>
    <col min="524" max="524" width="2.33203125" style="113" customWidth="1"/>
    <col min="525" max="768" width="12.5" style="113"/>
    <col min="769" max="769" width="29.33203125" style="113" customWidth="1"/>
    <col min="770" max="770" width="2.33203125" style="113" customWidth="1"/>
    <col min="771" max="771" width="10" style="113" customWidth="1"/>
    <col min="772" max="772" width="2.33203125" style="113" customWidth="1"/>
    <col min="773" max="773" width="11.33203125" style="113" customWidth="1"/>
    <col min="774" max="774" width="2.33203125" style="113" customWidth="1"/>
    <col min="775" max="775" width="11.33203125" style="113" customWidth="1"/>
    <col min="776" max="776" width="2.33203125" style="113" customWidth="1"/>
    <col min="777" max="777" width="11.33203125" style="113" customWidth="1"/>
    <col min="778" max="778" width="2.33203125" style="113" customWidth="1"/>
    <col min="779" max="779" width="11.33203125" style="113" customWidth="1"/>
    <col min="780" max="780" width="2.33203125" style="113" customWidth="1"/>
    <col min="781" max="1024" width="12.5" style="113"/>
    <col min="1025" max="1025" width="29.33203125" style="113" customWidth="1"/>
    <col min="1026" max="1026" width="2.33203125" style="113" customWidth="1"/>
    <col min="1027" max="1027" width="10" style="113" customWidth="1"/>
    <col min="1028" max="1028" width="2.33203125" style="113" customWidth="1"/>
    <col min="1029" max="1029" width="11.33203125" style="113" customWidth="1"/>
    <col min="1030" max="1030" width="2.33203125" style="113" customWidth="1"/>
    <col min="1031" max="1031" width="11.33203125" style="113" customWidth="1"/>
    <col min="1032" max="1032" width="2.33203125" style="113" customWidth="1"/>
    <col min="1033" max="1033" width="11.33203125" style="113" customWidth="1"/>
    <col min="1034" max="1034" width="2.33203125" style="113" customWidth="1"/>
    <col min="1035" max="1035" width="11.33203125" style="113" customWidth="1"/>
    <col min="1036" max="1036" width="2.33203125" style="113" customWidth="1"/>
    <col min="1037" max="1280" width="12.5" style="113"/>
    <col min="1281" max="1281" width="29.33203125" style="113" customWidth="1"/>
    <col min="1282" max="1282" width="2.33203125" style="113" customWidth="1"/>
    <col min="1283" max="1283" width="10" style="113" customWidth="1"/>
    <col min="1284" max="1284" width="2.33203125" style="113" customWidth="1"/>
    <col min="1285" max="1285" width="11.33203125" style="113" customWidth="1"/>
    <col min="1286" max="1286" width="2.33203125" style="113" customWidth="1"/>
    <col min="1287" max="1287" width="11.33203125" style="113" customWidth="1"/>
    <col min="1288" max="1288" width="2.33203125" style="113" customWidth="1"/>
    <col min="1289" max="1289" width="11.33203125" style="113" customWidth="1"/>
    <col min="1290" max="1290" width="2.33203125" style="113" customWidth="1"/>
    <col min="1291" max="1291" width="11.33203125" style="113" customWidth="1"/>
    <col min="1292" max="1292" width="2.33203125" style="113" customWidth="1"/>
    <col min="1293" max="1536" width="12.5" style="113"/>
    <col min="1537" max="1537" width="29.33203125" style="113" customWidth="1"/>
    <col min="1538" max="1538" width="2.33203125" style="113" customWidth="1"/>
    <col min="1539" max="1539" width="10" style="113" customWidth="1"/>
    <col min="1540" max="1540" width="2.33203125" style="113" customWidth="1"/>
    <col min="1541" max="1541" width="11.33203125" style="113" customWidth="1"/>
    <col min="1542" max="1542" width="2.33203125" style="113" customWidth="1"/>
    <col min="1543" max="1543" width="11.33203125" style="113" customWidth="1"/>
    <col min="1544" max="1544" width="2.33203125" style="113" customWidth="1"/>
    <col min="1545" max="1545" width="11.33203125" style="113" customWidth="1"/>
    <col min="1546" max="1546" width="2.33203125" style="113" customWidth="1"/>
    <col min="1547" max="1547" width="11.33203125" style="113" customWidth="1"/>
    <col min="1548" max="1548" width="2.33203125" style="113" customWidth="1"/>
    <col min="1549" max="1792" width="12.5" style="113"/>
    <col min="1793" max="1793" width="29.33203125" style="113" customWidth="1"/>
    <col min="1794" max="1794" width="2.33203125" style="113" customWidth="1"/>
    <col min="1795" max="1795" width="10" style="113" customWidth="1"/>
    <col min="1796" max="1796" width="2.33203125" style="113" customWidth="1"/>
    <col min="1797" max="1797" width="11.33203125" style="113" customWidth="1"/>
    <col min="1798" max="1798" width="2.33203125" style="113" customWidth="1"/>
    <col min="1799" max="1799" width="11.33203125" style="113" customWidth="1"/>
    <col min="1800" max="1800" width="2.33203125" style="113" customWidth="1"/>
    <col min="1801" max="1801" width="11.33203125" style="113" customWidth="1"/>
    <col min="1802" max="1802" width="2.33203125" style="113" customWidth="1"/>
    <col min="1803" max="1803" width="11.33203125" style="113" customWidth="1"/>
    <col min="1804" max="1804" width="2.33203125" style="113" customWidth="1"/>
    <col min="1805" max="2048" width="12.5" style="113"/>
    <col min="2049" max="2049" width="29.33203125" style="113" customWidth="1"/>
    <col min="2050" max="2050" width="2.33203125" style="113" customWidth="1"/>
    <col min="2051" max="2051" width="10" style="113" customWidth="1"/>
    <col min="2052" max="2052" width="2.33203125" style="113" customWidth="1"/>
    <col min="2053" max="2053" width="11.33203125" style="113" customWidth="1"/>
    <col min="2054" max="2054" width="2.33203125" style="113" customWidth="1"/>
    <col min="2055" max="2055" width="11.33203125" style="113" customWidth="1"/>
    <col min="2056" max="2056" width="2.33203125" style="113" customWidth="1"/>
    <col min="2057" max="2057" width="11.33203125" style="113" customWidth="1"/>
    <col min="2058" max="2058" width="2.33203125" style="113" customWidth="1"/>
    <col min="2059" max="2059" width="11.33203125" style="113" customWidth="1"/>
    <col min="2060" max="2060" width="2.33203125" style="113" customWidth="1"/>
    <col min="2061" max="2304" width="12.5" style="113"/>
    <col min="2305" max="2305" width="29.33203125" style="113" customWidth="1"/>
    <col min="2306" max="2306" width="2.33203125" style="113" customWidth="1"/>
    <col min="2307" max="2307" width="10" style="113" customWidth="1"/>
    <col min="2308" max="2308" width="2.33203125" style="113" customWidth="1"/>
    <col min="2309" max="2309" width="11.33203125" style="113" customWidth="1"/>
    <col min="2310" max="2310" width="2.33203125" style="113" customWidth="1"/>
    <col min="2311" max="2311" width="11.33203125" style="113" customWidth="1"/>
    <col min="2312" max="2312" width="2.33203125" style="113" customWidth="1"/>
    <col min="2313" max="2313" width="11.33203125" style="113" customWidth="1"/>
    <col min="2314" max="2314" width="2.33203125" style="113" customWidth="1"/>
    <col min="2315" max="2315" width="11.33203125" style="113" customWidth="1"/>
    <col min="2316" max="2316" width="2.33203125" style="113" customWidth="1"/>
    <col min="2317" max="2560" width="12.5" style="113"/>
    <col min="2561" max="2561" width="29.33203125" style="113" customWidth="1"/>
    <col min="2562" max="2562" width="2.33203125" style="113" customWidth="1"/>
    <col min="2563" max="2563" width="10" style="113" customWidth="1"/>
    <col min="2564" max="2564" width="2.33203125" style="113" customWidth="1"/>
    <col min="2565" max="2565" width="11.33203125" style="113" customWidth="1"/>
    <col min="2566" max="2566" width="2.33203125" style="113" customWidth="1"/>
    <col min="2567" max="2567" width="11.33203125" style="113" customWidth="1"/>
    <col min="2568" max="2568" width="2.33203125" style="113" customWidth="1"/>
    <col min="2569" max="2569" width="11.33203125" style="113" customWidth="1"/>
    <col min="2570" max="2570" width="2.33203125" style="113" customWidth="1"/>
    <col min="2571" max="2571" width="11.33203125" style="113" customWidth="1"/>
    <col min="2572" max="2572" width="2.33203125" style="113" customWidth="1"/>
    <col min="2573" max="2816" width="12.5" style="113"/>
    <col min="2817" max="2817" width="29.33203125" style="113" customWidth="1"/>
    <col min="2818" max="2818" width="2.33203125" style="113" customWidth="1"/>
    <col min="2819" max="2819" width="10" style="113" customWidth="1"/>
    <col min="2820" max="2820" width="2.33203125" style="113" customWidth="1"/>
    <col min="2821" max="2821" width="11.33203125" style="113" customWidth="1"/>
    <col min="2822" max="2822" width="2.33203125" style="113" customWidth="1"/>
    <col min="2823" max="2823" width="11.33203125" style="113" customWidth="1"/>
    <col min="2824" max="2824" width="2.33203125" style="113" customWidth="1"/>
    <col min="2825" max="2825" width="11.33203125" style="113" customWidth="1"/>
    <col min="2826" max="2826" width="2.33203125" style="113" customWidth="1"/>
    <col min="2827" max="2827" width="11.33203125" style="113" customWidth="1"/>
    <col min="2828" max="2828" width="2.33203125" style="113" customWidth="1"/>
    <col min="2829" max="3072" width="12.5" style="113"/>
    <col min="3073" max="3073" width="29.33203125" style="113" customWidth="1"/>
    <col min="3074" max="3074" width="2.33203125" style="113" customWidth="1"/>
    <col min="3075" max="3075" width="10" style="113" customWidth="1"/>
    <col min="3076" max="3076" width="2.33203125" style="113" customWidth="1"/>
    <col min="3077" max="3077" width="11.33203125" style="113" customWidth="1"/>
    <col min="3078" max="3078" width="2.33203125" style="113" customWidth="1"/>
    <col min="3079" max="3079" width="11.33203125" style="113" customWidth="1"/>
    <col min="3080" max="3080" width="2.33203125" style="113" customWidth="1"/>
    <col min="3081" max="3081" width="11.33203125" style="113" customWidth="1"/>
    <col min="3082" max="3082" width="2.33203125" style="113" customWidth="1"/>
    <col min="3083" max="3083" width="11.33203125" style="113" customWidth="1"/>
    <col min="3084" max="3084" width="2.33203125" style="113" customWidth="1"/>
    <col min="3085" max="3328" width="12.5" style="113"/>
    <col min="3329" max="3329" width="29.33203125" style="113" customWidth="1"/>
    <col min="3330" max="3330" width="2.33203125" style="113" customWidth="1"/>
    <col min="3331" max="3331" width="10" style="113" customWidth="1"/>
    <col min="3332" max="3332" width="2.33203125" style="113" customWidth="1"/>
    <col min="3333" max="3333" width="11.33203125" style="113" customWidth="1"/>
    <col min="3334" max="3334" width="2.33203125" style="113" customWidth="1"/>
    <col min="3335" max="3335" width="11.33203125" style="113" customWidth="1"/>
    <col min="3336" max="3336" width="2.33203125" style="113" customWidth="1"/>
    <col min="3337" max="3337" width="11.33203125" style="113" customWidth="1"/>
    <col min="3338" max="3338" width="2.33203125" style="113" customWidth="1"/>
    <col min="3339" max="3339" width="11.33203125" style="113" customWidth="1"/>
    <col min="3340" max="3340" width="2.33203125" style="113" customWidth="1"/>
    <col min="3341" max="3584" width="12.5" style="113"/>
    <col min="3585" max="3585" width="29.33203125" style="113" customWidth="1"/>
    <col min="3586" max="3586" width="2.33203125" style="113" customWidth="1"/>
    <col min="3587" max="3587" width="10" style="113" customWidth="1"/>
    <col min="3588" max="3588" width="2.33203125" style="113" customWidth="1"/>
    <col min="3589" max="3589" width="11.33203125" style="113" customWidth="1"/>
    <col min="3590" max="3590" width="2.33203125" style="113" customWidth="1"/>
    <col min="3591" max="3591" width="11.33203125" style="113" customWidth="1"/>
    <col min="3592" max="3592" width="2.33203125" style="113" customWidth="1"/>
    <col min="3593" max="3593" width="11.33203125" style="113" customWidth="1"/>
    <col min="3594" max="3594" width="2.33203125" style="113" customWidth="1"/>
    <col min="3595" max="3595" width="11.33203125" style="113" customWidth="1"/>
    <col min="3596" max="3596" width="2.33203125" style="113" customWidth="1"/>
    <col min="3597" max="3840" width="12.5" style="113"/>
    <col min="3841" max="3841" width="29.33203125" style="113" customWidth="1"/>
    <col min="3842" max="3842" width="2.33203125" style="113" customWidth="1"/>
    <col min="3843" max="3843" width="10" style="113" customWidth="1"/>
    <col min="3844" max="3844" width="2.33203125" style="113" customWidth="1"/>
    <col min="3845" max="3845" width="11.33203125" style="113" customWidth="1"/>
    <col min="3846" max="3846" width="2.33203125" style="113" customWidth="1"/>
    <col min="3847" max="3847" width="11.33203125" style="113" customWidth="1"/>
    <col min="3848" max="3848" width="2.33203125" style="113" customWidth="1"/>
    <col min="3849" max="3849" width="11.33203125" style="113" customWidth="1"/>
    <col min="3850" max="3850" width="2.33203125" style="113" customWidth="1"/>
    <col min="3851" max="3851" width="11.33203125" style="113" customWidth="1"/>
    <col min="3852" max="3852" width="2.33203125" style="113" customWidth="1"/>
    <col min="3853" max="4096" width="12.5" style="113"/>
    <col min="4097" max="4097" width="29.33203125" style="113" customWidth="1"/>
    <col min="4098" max="4098" width="2.33203125" style="113" customWidth="1"/>
    <col min="4099" max="4099" width="10" style="113" customWidth="1"/>
    <col min="4100" max="4100" width="2.33203125" style="113" customWidth="1"/>
    <col min="4101" max="4101" width="11.33203125" style="113" customWidth="1"/>
    <col min="4102" max="4102" width="2.33203125" style="113" customWidth="1"/>
    <col min="4103" max="4103" width="11.33203125" style="113" customWidth="1"/>
    <col min="4104" max="4104" width="2.33203125" style="113" customWidth="1"/>
    <col min="4105" max="4105" width="11.33203125" style="113" customWidth="1"/>
    <col min="4106" max="4106" width="2.33203125" style="113" customWidth="1"/>
    <col min="4107" max="4107" width="11.33203125" style="113" customWidth="1"/>
    <col min="4108" max="4108" width="2.33203125" style="113" customWidth="1"/>
    <col min="4109" max="4352" width="12.5" style="113"/>
    <col min="4353" max="4353" width="29.33203125" style="113" customWidth="1"/>
    <col min="4354" max="4354" width="2.33203125" style="113" customWidth="1"/>
    <col min="4355" max="4355" width="10" style="113" customWidth="1"/>
    <col min="4356" max="4356" width="2.33203125" style="113" customWidth="1"/>
    <col min="4357" max="4357" width="11.33203125" style="113" customWidth="1"/>
    <col min="4358" max="4358" width="2.33203125" style="113" customWidth="1"/>
    <col min="4359" max="4359" width="11.33203125" style="113" customWidth="1"/>
    <col min="4360" max="4360" width="2.33203125" style="113" customWidth="1"/>
    <col min="4361" max="4361" width="11.33203125" style="113" customWidth="1"/>
    <col min="4362" max="4362" width="2.33203125" style="113" customWidth="1"/>
    <col min="4363" max="4363" width="11.33203125" style="113" customWidth="1"/>
    <col min="4364" max="4364" width="2.33203125" style="113" customWidth="1"/>
    <col min="4365" max="4608" width="12.5" style="113"/>
    <col min="4609" max="4609" width="29.33203125" style="113" customWidth="1"/>
    <col min="4610" max="4610" width="2.33203125" style="113" customWidth="1"/>
    <col min="4611" max="4611" width="10" style="113" customWidth="1"/>
    <col min="4612" max="4612" width="2.33203125" style="113" customWidth="1"/>
    <col min="4613" max="4613" width="11.33203125" style="113" customWidth="1"/>
    <col min="4614" max="4614" width="2.33203125" style="113" customWidth="1"/>
    <col min="4615" max="4615" width="11.33203125" style="113" customWidth="1"/>
    <col min="4616" max="4616" width="2.33203125" style="113" customWidth="1"/>
    <col min="4617" max="4617" width="11.33203125" style="113" customWidth="1"/>
    <col min="4618" max="4618" width="2.33203125" style="113" customWidth="1"/>
    <col min="4619" max="4619" width="11.33203125" style="113" customWidth="1"/>
    <col min="4620" max="4620" width="2.33203125" style="113" customWidth="1"/>
    <col min="4621" max="4864" width="12.5" style="113"/>
    <col min="4865" max="4865" width="29.33203125" style="113" customWidth="1"/>
    <col min="4866" max="4866" width="2.33203125" style="113" customWidth="1"/>
    <col min="4867" max="4867" width="10" style="113" customWidth="1"/>
    <col min="4868" max="4868" width="2.33203125" style="113" customWidth="1"/>
    <col min="4869" max="4869" width="11.33203125" style="113" customWidth="1"/>
    <col min="4870" max="4870" width="2.33203125" style="113" customWidth="1"/>
    <col min="4871" max="4871" width="11.33203125" style="113" customWidth="1"/>
    <col min="4872" max="4872" width="2.33203125" style="113" customWidth="1"/>
    <col min="4873" max="4873" width="11.33203125" style="113" customWidth="1"/>
    <col min="4874" max="4874" width="2.33203125" style="113" customWidth="1"/>
    <col min="4875" max="4875" width="11.33203125" style="113" customWidth="1"/>
    <col min="4876" max="4876" width="2.33203125" style="113" customWidth="1"/>
    <col min="4877" max="5120" width="12.5" style="113"/>
    <col min="5121" max="5121" width="29.33203125" style="113" customWidth="1"/>
    <col min="5122" max="5122" width="2.33203125" style="113" customWidth="1"/>
    <col min="5123" max="5123" width="10" style="113" customWidth="1"/>
    <col min="5124" max="5124" width="2.33203125" style="113" customWidth="1"/>
    <col min="5125" max="5125" width="11.33203125" style="113" customWidth="1"/>
    <col min="5126" max="5126" width="2.33203125" style="113" customWidth="1"/>
    <col min="5127" max="5127" width="11.33203125" style="113" customWidth="1"/>
    <col min="5128" max="5128" width="2.33203125" style="113" customWidth="1"/>
    <col min="5129" max="5129" width="11.33203125" style="113" customWidth="1"/>
    <col min="5130" max="5130" width="2.33203125" style="113" customWidth="1"/>
    <col min="5131" max="5131" width="11.33203125" style="113" customWidth="1"/>
    <col min="5132" max="5132" width="2.33203125" style="113" customWidth="1"/>
    <col min="5133" max="5376" width="12.5" style="113"/>
    <col min="5377" max="5377" width="29.33203125" style="113" customWidth="1"/>
    <col min="5378" max="5378" width="2.33203125" style="113" customWidth="1"/>
    <col min="5379" max="5379" width="10" style="113" customWidth="1"/>
    <col min="5380" max="5380" width="2.33203125" style="113" customWidth="1"/>
    <col min="5381" max="5381" width="11.33203125" style="113" customWidth="1"/>
    <col min="5382" max="5382" width="2.33203125" style="113" customWidth="1"/>
    <col min="5383" max="5383" width="11.33203125" style="113" customWidth="1"/>
    <col min="5384" max="5384" width="2.33203125" style="113" customWidth="1"/>
    <col min="5385" max="5385" width="11.33203125" style="113" customWidth="1"/>
    <col min="5386" max="5386" width="2.33203125" style="113" customWidth="1"/>
    <col min="5387" max="5387" width="11.33203125" style="113" customWidth="1"/>
    <col min="5388" max="5388" width="2.33203125" style="113" customWidth="1"/>
    <col min="5389" max="5632" width="12.5" style="113"/>
    <col min="5633" max="5633" width="29.33203125" style="113" customWidth="1"/>
    <col min="5634" max="5634" width="2.33203125" style="113" customWidth="1"/>
    <col min="5635" max="5635" width="10" style="113" customWidth="1"/>
    <col min="5636" max="5636" width="2.33203125" style="113" customWidth="1"/>
    <col min="5637" max="5637" width="11.33203125" style="113" customWidth="1"/>
    <col min="5638" max="5638" width="2.33203125" style="113" customWidth="1"/>
    <col min="5639" max="5639" width="11.33203125" style="113" customWidth="1"/>
    <col min="5640" max="5640" width="2.33203125" style="113" customWidth="1"/>
    <col min="5641" max="5641" width="11.33203125" style="113" customWidth="1"/>
    <col min="5642" max="5642" width="2.33203125" style="113" customWidth="1"/>
    <col min="5643" max="5643" width="11.33203125" style="113" customWidth="1"/>
    <col min="5644" max="5644" width="2.33203125" style="113" customWidth="1"/>
    <col min="5645" max="5888" width="12.5" style="113"/>
    <col min="5889" max="5889" width="29.33203125" style="113" customWidth="1"/>
    <col min="5890" max="5890" width="2.33203125" style="113" customWidth="1"/>
    <col min="5891" max="5891" width="10" style="113" customWidth="1"/>
    <col min="5892" max="5892" width="2.33203125" style="113" customWidth="1"/>
    <col min="5893" max="5893" width="11.33203125" style="113" customWidth="1"/>
    <col min="5894" max="5894" width="2.33203125" style="113" customWidth="1"/>
    <col min="5895" max="5895" width="11.33203125" style="113" customWidth="1"/>
    <col min="5896" max="5896" width="2.33203125" style="113" customWidth="1"/>
    <col min="5897" max="5897" width="11.33203125" style="113" customWidth="1"/>
    <col min="5898" max="5898" width="2.33203125" style="113" customWidth="1"/>
    <col min="5899" max="5899" width="11.33203125" style="113" customWidth="1"/>
    <col min="5900" max="5900" width="2.33203125" style="113" customWidth="1"/>
    <col min="5901" max="6144" width="12.5" style="113"/>
    <col min="6145" max="6145" width="29.33203125" style="113" customWidth="1"/>
    <col min="6146" max="6146" width="2.33203125" style="113" customWidth="1"/>
    <col min="6147" max="6147" width="10" style="113" customWidth="1"/>
    <col min="6148" max="6148" width="2.33203125" style="113" customWidth="1"/>
    <col min="6149" max="6149" width="11.33203125" style="113" customWidth="1"/>
    <col min="6150" max="6150" width="2.33203125" style="113" customWidth="1"/>
    <col min="6151" max="6151" width="11.33203125" style="113" customWidth="1"/>
    <col min="6152" max="6152" width="2.33203125" style="113" customWidth="1"/>
    <col min="6153" max="6153" width="11.33203125" style="113" customWidth="1"/>
    <col min="6154" max="6154" width="2.33203125" style="113" customWidth="1"/>
    <col min="6155" max="6155" width="11.33203125" style="113" customWidth="1"/>
    <col min="6156" max="6156" width="2.33203125" style="113" customWidth="1"/>
    <col min="6157" max="6400" width="12.5" style="113"/>
    <col min="6401" max="6401" width="29.33203125" style="113" customWidth="1"/>
    <col min="6402" max="6402" width="2.33203125" style="113" customWidth="1"/>
    <col min="6403" max="6403" width="10" style="113" customWidth="1"/>
    <col min="6404" max="6404" width="2.33203125" style="113" customWidth="1"/>
    <col min="6405" max="6405" width="11.33203125" style="113" customWidth="1"/>
    <col min="6406" max="6406" width="2.33203125" style="113" customWidth="1"/>
    <col min="6407" max="6407" width="11.33203125" style="113" customWidth="1"/>
    <col min="6408" max="6408" width="2.33203125" style="113" customWidth="1"/>
    <col min="6409" max="6409" width="11.33203125" style="113" customWidth="1"/>
    <col min="6410" max="6410" width="2.33203125" style="113" customWidth="1"/>
    <col min="6411" max="6411" width="11.33203125" style="113" customWidth="1"/>
    <col min="6412" max="6412" width="2.33203125" style="113" customWidth="1"/>
    <col min="6413" max="6656" width="12.5" style="113"/>
    <col min="6657" max="6657" width="29.33203125" style="113" customWidth="1"/>
    <col min="6658" max="6658" width="2.33203125" style="113" customWidth="1"/>
    <col min="6659" max="6659" width="10" style="113" customWidth="1"/>
    <col min="6660" max="6660" width="2.33203125" style="113" customWidth="1"/>
    <col min="6661" max="6661" width="11.33203125" style="113" customWidth="1"/>
    <col min="6662" max="6662" width="2.33203125" style="113" customWidth="1"/>
    <col min="6663" max="6663" width="11.33203125" style="113" customWidth="1"/>
    <col min="6664" max="6664" width="2.33203125" style="113" customWidth="1"/>
    <col min="6665" max="6665" width="11.33203125" style="113" customWidth="1"/>
    <col min="6666" max="6666" width="2.33203125" style="113" customWidth="1"/>
    <col min="6667" max="6667" width="11.33203125" style="113" customWidth="1"/>
    <col min="6668" max="6668" width="2.33203125" style="113" customWidth="1"/>
    <col min="6669" max="6912" width="12.5" style="113"/>
    <col min="6913" max="6913" width="29.33203125" style="113" customWidth="1"/>
    <col min="6914" max="6914" width="2.33203125" style="113" customWidth="1"/>
    <col min="6915" max="6915" width="10" style="113" customWidth="1"/>
    <col min="6916" max="6916" width="2.33203125" style="113" customWidth="1"/>
    <col min="6917" max="6917" width="11.33203125" style="113" customWidth="1"/>
    <col min="6918" max="6918" width="2.33203125" style="113" customWidth="1"/>
    <col min="6919" max="6919" width="11.33203125" style="113" customWidth="1"/>
    <col min="6920" max="6920" width="2.33203125" style="113" customWidth="1"/>
    <col min="6921" max="6921" width="11.33203125" style="113" customWidth="1"/>
    <col min="6922" max="6922" width="2.33203125" style="113" customWidth="1"/>
    <col min="6923" max="6923" width="11.33203125" style="113" customWidth="1"/>
    <col min="6924" max="6924" width="2.33203125" style="113" customWidth="1"/>
    <col min="6925" max="7168" width="12.5" style="113"/>
    <col min="7169" max="7169" width="29.33203125" style="113" customWidth="1"/>
    <col min="7170" max="7170" width="2.33203125" style="113" customWidth="1"/>
    <col min="7171" max="7171" width="10" style="113" customWidth="1"/>
    <col min="7172" max="7172" width="2.33203125" style="113" customWidth="1"/>
    <col min="7173" max="7173" width="11.33203125" style="113" customWidth="1"/>
    <col min="7174" max="7174" width="2.33203125" style="113" customWidth="1"/>
    <col min="7175" max="7175" width="11.33203125" style="113" customWidth="1"/>
    <col min="7176" max="7176" width="2.33203125" style="113" customWidth="1"/>
    <col min="7177" max="7177" width="11.33203125" style="113" customWidth="1"/>
    <col min="7178" max="7178" width="2.33203125" style="113" customWidth="1"/>
    <col min="7179" max="7179" width="11.33203125" style="113" customWidth="1"/>
    <col min="7180" max="7180" width="2.33203125" style="113" customWidth="1"/>
    <col min="7181" max="7424" width="12.5" style="113"/>
    <col min="7425" max="7425" width="29.33203125" style="113" customWidth="1"/>
    <col min="7426" max="7426" width="2.33203125" style="113" customWidth="1"/>
    <col min="7427" max="7427" width="10" style="113" customWidth="1"/>
    <col min="7428" max="7428" width="2.33203125" style="113" customWidth="1"/>
    <col min="7429" max="7429" width="11.33203125" style="113" customWidth="1"/>
    <col min="7430" max="7430" width="2.33203125" style="113" customWidth="1"/>
    <col min="7431" max="7431" width="11.33203125" style="113" customWidth="1"/>
    <col min="7432" max="7432" width="2.33203125" style="113" customWidth="1"/>
    <col min="7433" max="7433" width="11.33203125" style="113" customWidth="1"/>
    <col min="7434" max="7434" width="2.33203125" style="113" customWidth="1"/>
    <col min="7435" max="7435" width="11.33203125" style="113" customWidth="1"/>
    <col min="7436" max="7436" width="2.33203125" style="113" customWidth="1"/>
    <col min="7437" max="7680" width="12.5" style="113"/>
    <col min="7681" max="7681" width="29.33203125" style="113" customWidth="1"/>
    <col min="7682" max="7682" width="2.33203125" style="113" customWidth="1"/>
    <col min="7683" max="7683" width="10" style="113" customWidth="1"/>
    <col min="7684" max="7684" width="2.33203125" style="113" customWidth="1"/>
    <col min="7685" max="7685" width="11.33203125" style="113" customWidth="1"/>
    <col min="7686" max="7686" width="2.33203125" style="113" customWidth="1"/>
    <col min="7687" max="7687" width="11.33203125" style="113" customWidth="1"/>
    <col min="7688" max="7688" width="2.33203125" style="113" customWidth="1"/>
    <col min="7689" max="7689" width="11.33203125" style="113" customWidth="1"/>
    <col min="7690" max="7690" width="2.33203125" style="113" customWidth="1"/>
    <col min="7691" max="7691" width="11.33203125" style="113" customWidth="1"/>
    <col min="7692" max="7692" width="2.33203125" style="113" customWidth="1"/>
    <col min="7693" max="7936" width="12.5" style="113"/>
    <col min="7937" max="7937" width="29.33203125" style="113" customWidth="1"/>
    <col min="7938" max="7938" width="2.33203125" style="113" customWidth="1"/>
    <col min="7939" max="7939" width="10" style="113" customWidth="1"/>
    <col min="7940" max="7940" width="2.33203125" style="113" customWidth="1"/>
    <col min="7941" max="7941" width="11.33203125" style="113" customWidth="1"/>
    <col min="7942" max="7942" width="2.33203125" style="113" customWidth="1"/>
    <col min="7943" max="7943" width="11.33203125" style="113" customWidth="1"/>
    <col min="7944" max="7944" width="2.33203125" style="113" customWidth="1"/>
    <col min="7945" max="7945" width="11.33203125" style="113" customWidth="1"/>
    <col min="7946" max="7946" width="2.33203125" style="113" customWidth="1"/>
    <col min="7947" max="7947" width="11.33203125" style="113" customWidth="1"/>
    <col min="7948" max="7948" width="2.33203125" style="113" customWidth="1"/>
    <col min="7949" max="8192" width="12.5" style="113"/>
    <col min="8193" max="8193" width="29.33203125" style="113" customWidth="1"/>
    <col min="8194" max="8194" width="2.33203125" style="113" customWidth="1"/>
    <col min="8195" max="8195" width="10" style="113" customWidth="1"/>
    <col min="8196" max="8196" width="2.33203125" style="113" customWidth="1"/>
    <col min="8197" max="8197" width="11.33203125" style="113" customWidth="1"/>
    <col min="8198" max="8198" width="2.33203125" style="113" customWidth="1"/>
    <col min="8199" max="8199" width="11.33203125" style="113" customWidth="1"/>
    <col min="8200" max="8200" width="2.33203125" style="113" customWidth="1"/>
    <col min="8201" max="8201" width="11.33203125" style="113" customWidth="1"/>
    <col min="8202" max="8202" width="2.33203125" style="113" customWidth="1"/>
    <col min="8203" max="8203" width="11.33203125" style="113" customWidth="1"/>
    <col min="8204" max="8204" width="2.33203125" style="113" customWidth="1"/>
    <col min="8205" max="8448" width="12.5" style="113"/>
    <col min="8449" max="8449" width="29.33203125" style="113" customWidth="1"/>
    <col min="8450" max="8450" width="2.33203125" style="113" customWidth="1"/>
    <col min="8451" max="8451" width="10" style="113" customWidth="1"/>
    <col min="8452" max="8452" width="2.33203125" style="113" customWidth="1"/>
    <col min="8453" max="8453" width="11.33203125" style="113" customWidth="1"/>
    <col min="8454" max="8454" width="2.33203125" style="113" customWidth="1"/>
    <col min="8455" max="8455" width="11.33203125" style="113" customWidth="1"/>
    <col min="8456" max="8456" width="2.33203125" style="113" customWidth="1"/>
    <col min="8457" max="8457" width="11.33203125" style="113" customWidth="1"/>
    <col min="8458" max="8458" width="2.33203125" style="113" customWidth="1"/>
    <col min="8459" max="8459" width="11.33203125" style="113" customWidth="1"/>
    <col min="8460" max="8460" width="2.33203125" style="113" customWidth="1"/>
    <col min="8461" max="8704" width="12.5" style="113"/>
    <col min="8705" max="8705" width="29.33203125" style="113" customWidth="1"/>
    <col min="8706" max="8706" width="2.33203125" style="113" customWidth="1"/>
    <col min="8707" max="8707" width="10" style="113" customWidth="1"/>
    <col min="8708" max="8708" width="2.33203125" style="113" customWidth="1"/>
    <col min="8709" max="8709" width="11.33203125" style="113" customWidth="1"/>
    <col min="8710" max="8710" width="2.33203125" style="113" customWidth="1"/>
    <col min="8711" max="8711" width="11.33203125" style="113" customWidth="1"/>
    <col min="8712" max="8712" width="2.33203125" style="113" customWidth="1"/>
    <col min="8713" max="8713" width="11.33203125" style="113" customWidth="1"/>
    <col min="8714" max="8714" width="2.33203125" style="113" customWidth="1"/>
    <col min="8715" max="8715" width="11.33203125" style="113" customWidth="1"/>
    <col min="8716" max="8716" width="2.33203125" style="113" customWidth="1"/>
    <col min="8717" max="8960" width="12.5" style="113"/>
    <col min="8961" max="8961" width="29.33203125" style="113" customWidth="1"/>
    <col min="8962" max="8962" width="2.33203125" style="113" customWidth="1"/>
    <col min="8963" max="8963" width="10" style="113" customWidth="1"/>
    <col min="8964" max="8964" width="2.33203125" style="113" customWidth="1"/>
    <col min="8965" max="8965" width="11.33203125" style="113" customWidth="1"/>
    <col min="8966" max="8966" width="2.33203125" style="113" customWidth="1"/>
    <col min="8967" max="8967" width="11.33203125" style="113" customWidth="1"/>
    <col min="8968" max="8968" width="2.33203125" style="113" customWidth="1"/>
    <col min="8969" max="8969" width="11.33203125" style="113" customWidth="1"/>
    <col min="8970" max="8970" width="2.33203125" style="113" customWidth="1"/>
    <col min="8971" max="8971" width="11.33203125" style="113" customWidth="1"/>
    <col min="8972" max="8972" width="2.33203125" style="113" customWidth="1"/>
    <col min="8973" max="9216" width="12.5" style="113"/>
    <col min="9217" max="9217" width="29.33203125" style="113" customWidth="1"/>
    <col min="9218" max="9218" width="2.33203125" style="113" customWidth="1"/>
    <col min="9219" max="9219" width="10" style="113" customWidth="1"/>
    <col min="9220" max="9220" width="2.33203125" style="113" customWidth="1"/>
    <col min="9221" max="9221" width="11.33203125" style="113" customWidth="1"/>
    <col min="9222" max="9222" width="2.33203125" style="113" customWidth="1"/>
    <col min="9223" max="9223" width="11.33203125" style="113" customWidth="1"/>
    <col min="9224" max="9224" width="2.33203125" style="113" customWidth="1"/>
    <col min="9225" max="9225" width="11.33203125" style="113" customWidth="1"/>
    <col min="9226" max="9226" width="2.33203125" style="113" customWidth="1"/>
    <col min="9227" max="9227" width="11.33203125" style="113" customWidth="1"/>
    <col min="9228" max="9228" width="2.33203125" style="113" customWidth="1"/>
    <col min="9229" max="9472" width="12.5" style="113"/>
    <col min="9473" max="9473" width="29.33203125" style="113" customWidth="1"/>
    <col min="9474" max="9474" width="2.33203125" style="113" customWidth="1"/>
    <col min="9475" max="9475" width="10" style="113" customWidth="1"/>
    <col min="9476" max="9476" width="2.33203125" style="113" customWidth="1"/>
    <col min="9477" max="9477" width="11.33203125" style="113" customWidth="1"/>
    <col min="9478" max="9478" width="2.33203125" style="113" customWidth="1"/>
    <col min="9479" max="9479" width="11.33203125" style="113" customWidth="1"/>
    <col min="9480" max="9480" width="2.33203125" style="113" customWidth="1"/>
    <col min="9481" max="9481" width="11.33203125" style="113" customWidth="1"/>
    <col min="9482" max="9482" width="2.33203125" style="113" customWidth="1"/>
    <col min="9483" max="9483" width="11.33203125" style="113" customWidth="1"/>
    <col min="9484" max="9484" width="2.33203125" style="113" customWidth="1"/>
    <col min="9485" max="9728" width="12.5" style="113"/>
    <col min="9729" max="9729" width="29.33203125" style="113" customWidth="1"/>
    <col min="9730" max="9730" width="2.33203125" style="113" customWidth="1"/>
    <col min="9731" max="9731" width="10" style="113" customWidth="1"/>
    <col min="9732" max="9732" width="2.33203125" style="113" customWidth="1"/>
    <col min="9733" max="9733" width="11.33203125" style="113" customWidth="1"/>
    <col min="9734" max="9734" width="2.33203125" style="113" customWidth="1"/>
    <col min="9735" max="9735" width="11.33203125" style="113" customWidth="1"/>
    <col min="9736" max="9736" width="2.33203125" style="113" customWidth="1"/>
    <col min="9737" max="9737" width="11.33203125" style="113" customWidth="1"/>
    <col min="9738" max="9738" width="2.33203125" style="113" customWidth="1"/>
    <col min="9739" max="9739" width="11.33203125" style="113" customWidth="1"/>
    <col min="9740" max="9740" width="2.33203125" style="113" customWidth="1"/>
    <col min="9741" max="9984" width="12.5" style="113"/>
    <col min="9985" max="9985" width="29.33203125" style="113" customWidth="1"/>
    <col min="9986" max="9986" width="2.33203125" style="113" customWidth="1"/>
    <col min="9987" max="9987" width="10" style="113" customWidth="1"/>
    <col min="9988" max="9988" width="2.33203125" style="113" customWidth="1"/>
    <col min="9989" max="9989" width="11.33203125" style="113" customWidth="1"/>
    <col min="9990" max="9990" width="2.33203125" style="113" customWidth="1"/>
    <col min="9991" max="9991" width="11.33203125" style="113" customWidth="1"/>
    <col min="9992" max="9992" width="2.33203125" style="113" customWidth="1"/>
    <col min="9993" max="9993" width="11.33203125" style="113" customWidth="1"/>
    <col min="9994" max="9994" width="2.33203125" style="113" customWidth="1"/>
    <col min="9995" max="9995" width="11.33203125" style="113" customWidth="1"/>
    <col min="9996" max="9996" width="2.33203125" style="113" customWidth="1"/>
    <col min="9997" max="10240" width="12.5" style="113"/>
    <col min="10241" max="10241" width="29.33203125" style="113" customWidth="1"/>
    <col min="10242" max="10242" width="2.33203125" style="113" customWidth="1"/>
    <col min="10243" max="10243" width="10" style="113" customWidth="1"/>
    <col min="10244" max="10244" width="2.33203125" style="113" customWidth="1"/>
    <col min="10245" max="10245" width="11.33203125" style="113" customWidth="1"/>
    <col min="10246" max="10246" width="2.33203125" style="113" customWidth="1"/>
    <col min="10247" max="10247" width="11.33203125" style="113" customWidth="1"/>
    <col min="10248" max="10248" width="2.33203125" style="113" customWidth="1"/>
    <col min="10249" max="10249" width="11.33203125" style="113" customWidth="1"/>
    <col min="10250" max="10250" width="2.33203125" style="113" customWidth="1"/>
    <col min="10251" max="10251" width="11.33203125" style="113" customWidth="1"/>
    <col min="10252" max="10252" width="2.33203125" style="113" customWidth="1"/>
    <col min="10253" max="10496" width="12.5" style="113"/>
    <col min="10497" max="10497" width="29.33203125" style="113" customWidth="1"/>
    <col min="10498" max="10498" width="2.33203125" style="113" customWidth="1"/>
    <col min="10499" max="10499" width="10" style="113" customWidth="1"/>
    <col min="10500" max="10500" width="2.33203125" style="113" customWidth="1"/>
    <col min="10501" max="10501" width="11.33203125" style="113" customWidth="1"/>
    <col min="10502" max="10502" width="2.33203125" style="113" customWidth="1"/>
    <col min="10503" max="10503" width="11.33203125" style="113" customWidth="1"/>
    <col min="10504" max="10504" width="2.33203125" style="113" customWidth="1"/>
    <col min="10505" max="10505" width="11.33203125" style="113" customWidth="1"/>
    <col min="10506" max="10506" width="2.33203125" style="113" customWidth="1"/>
    <col min="10507" max="10507" width="11.33203125" style="113" customWidth="1"/>
    <col min="10508" max="10508" width="2.33203125" style="113" customWidth="1"/>
    <col min="10509" max="10752" width="12.5" style="113"/>
    <col min="10753" max="10753" width="29.33203125" style="113" customWidth="1"/>
    <col min="10754" max="10754" width="2.33203125" style="113" customWidth="1"/>
    <col min="10755" max="10755" width="10" style="113" customWidth="1"/>
    <col min="10756" max="10756" width="2.33203125" style="113" customWidth="1"/>
    <col min="10757" max="10757" width="11.33203125" style="113" customWidth="1"/>
    <col min="10758" max="10758" width="2.33203125" style="113" customWidth="1"/>
    <col min="10759" max="10759" width="11.33203125" style="113" customWidth="1"/>
    <col min="10760" max="10760" width="2.33203125" style="113" customWidth="1"/>
    <col min="10761" max="10761" width="11.33203125" style="113" customWidth="1"/>
    <col min="10762" max="10762" width="2.33203125" style="113" customWidth="1"/>
    <col min="10763" max="10763" width="11.33203125" style="113" customWidth="1"/>
    <col min="10764" max="10764" width="2.33203125" style="113" customWidth="1"/>
    <col min="10765" max="11008" width="12.5" style="113"/>
    <col min="11009" max="11009" width="29.33203125" style="113" customWidth="1"/>
    <col min="11010" max="11010" width="2.33203125" style="113" customWidth="1"/>
    <col min="11011" max="11011" width="10" style="113" customWidth="1"/>
    <col min="11012" max="11012" width="2.33203125" style="113" customWidth="1"/>
    <col min="11013" max="11013" width="11.33203125" style="113" customWidth="1"/>
    <col min="11014" max="11014" width="2.33203125" style="113" customWidth="1"/>
    <col min="11015" max="11015" width="11.33203125" style="113" customWidth="1"/>
    <col min="11016" max="11016" width="2.33203125" style="113" customWidth="1"/>
    <col min="11017" max="11017" width="11.33203125" style="113" customWidth="1"/>
    <col min="11018" max="11018" width="2.33203125" style="113" customWidth="1"/>
    <col min="11019" max="11019" width="11.33203125" style="113" customWidth="1"/>
    <col min="11020" max="11020" width="2.33203125" style="113" customWidth="1"/>
    <col min="11021" max="11264" width="12.5" style="113"/>
    <col min="11265" max="11265" width="29.33203125" style="113" customWidth="1"/>
    <col min="11266" max="11266" width="2.33203125" style="113" customWidth="1"/>
    <col min="11267" max="11267" width="10" style="113" customWidth="1"/>
    <col min="11268" max="11268" width="2.33203125" style="113" customWidth="1"/>
    <col min="11269" max="11269" width="11.33203125" style="113" customWidth="1"/>
    <col min="11270" max="11270" width="2.33203125" style="113" customWidth="1"/>
    <col min="11271" max="11271" width="11.33203125" style="113" customWidth="1"/>
    <col min="11272" max="11272" width="2.33203125" style="113" customWidth="1"/>
    <col min="11273" max="11273" width="11.33203125" style="113" customWidth="1"/>
    <col min="11274" max="11274" width="2.33203125" style="113" customWidth="1"/>
    <col min="11275" max="11275" width="11.33203125" style="113" customWidth="1"/>
    <col min="11276" max="11276" width="2.33203125" style="113" customWidth="1"/>
    <col min="11277" max="11520" width="12.5" style="113"/>
    <col min="11521" max="11521" width="29.33203125" style="113" customWidth="1"/>
    <col min="11522" max="11522" width="2.33203125" style="113" customWidth="1"/>
    <col min="11523" max="11523" width="10" style="113" customWidth="1"/>
    <col min="11524" max="11524" width="2.33203125" style="113" customWidth="1"/>
    <col min="11525" max="11525" width="11.33203125" style="113" customWidth="1"/>
    <col min="11526" max="11526" width="2.33203125" style="113" customWidth="1"/>
    <col min="11527" max="11527" width="11.33203125" style="113" customWidth="1"/>
    <col min="11528" max="11528" width="2.33203125" style="113" customWidth="1"/>
    <col min="11529" max="11529" width="11.33203125" style="113" customWidth="1"/>
    <col min="11530" max="11530" width="2.33203125" style="113" customWidth="1"/>
    <col min="11531" max="11531" width="11.33203125" style="113" customWidth="1"/>
    <col min="11532" max="11532" width="2.33203125" style="113" customWidth="1"/>
    <col min="11533" max="11776" width="12.5" style="113"/>
    <col min="11777" max="11777" width="29.33203125" style="113" customWidth="1"/>
    <col min="11778" max="11778" width="2.33203125" style="113" customWidth="1"/>
    <col min="11779" max="11779" width="10" style="113" customWidth="1"/>
    <col min="11780" max="11780" width="2.33203125" style="113" customWidth="1"/>
    <col min="11781" max="11781" width="11.33203125" style="113" customWidth="1"/>
    <col min="11782" max="11782" width="2.33203125" style="113" customWidth="1"/>
    <col min="11783" max="11783" width="11.33203125" style="113" customWidth="1"/>
    <col min="11784" max="11784" width="2.33203125" style="113" customWidth="1"/>
    <col min="11785" max="11785" width="11.33203125" style="113" customWidth="1"/>
    <col min="11786" max="11786" width="2.33203125" style="113" customWidth="1"/>
    <col min="11787" max="11787" width="11.33203125" style="113" customWidth="1"/>
    <col min="11788" max="11788" width="2.33203125" style="113" customWidth="1"/>
    <col min="11789" max="12032" width="12.5" style="113"/>
    <col min="12033" max="12033" width="29.33203125" style="113" customWidth="1"/>
    <col min="12034" max="12034" width="2.33203125" style="113" customWidth="1"/>
    <col min="12035" max="12035" width="10" style="113" customWidth="1"/>
    <col min="12036" max="12036" width="2.33203125" style="113" customWidth="1"/>
    <col min="12037" max="12037" width="11.33203125" style="113" customWidth="1"/>
    <col min="12038" max="12038" width="2.33203125" style="113" customWidth="1"/>
    <col min="12039" max="12039" width="11.33203125" style="113" customWidth="1"/>
    <col min="12040" max="12040" width="2.33203125" style="113" customWidth="1"/>
    <col min="12041" max="12041" width="11.33203125" style="113" customWidth="1"/>
    <col min="12042" max="12042" width="2.33203125" style="113" customWidth="1"/>
    <col min="12043" max="12043" width="11.33203125" style="113" customWidth="1"/>
    <col min="12044" max="12044" width="2.33203125" style="113" customWidth="1"/>
    <col min="12045" max="12288" width="12.5" style="113"/>
    <col min="12289" max="12289" width="29.33203125" style="113" customWidth="1"/>
    <col min="12290" max="12290" width="2.33203125" style="113" customWidth="1"/>
    <col min="12291" max="12291" width="10" style="113" customWidth="1"/>
    <col min="12292" max="12292" width="2.33203125" style="113" customWidth="1"/>
    <col min="12293" max="12293" width="11.33203125" style="113" customWidth="1"/>
    <col min="12294" max="12294" width="2.33203125" style="113" customWidth="1"/>
    <col min="12295" max="12295" width="11.33203125" style="113" customWidth="1"/>
    <col min="12296" max="12296" width="2.33203125" style="113" customWidth="1"/>
    <col min="12297" max="12297" width="11.33203125" style="113" customWidth="1"/>
    <col min="12298" max="12298" width="2.33203125" style="113" customWidth="1"/>
    <col min="12299" max="12299" width="11.33203125" style="113" customWidth="1"/>
    <col min="12300" max="12300" width="2.33203125" style="113" customWidth="1"/>
    <col min="12301" max="12544" width="12.5" style="113"/>
    <col min="12545" max="12545" width="29.33203125" style="113" customWidth="1"/>
    <col min="12546" max="12546" width="2.33203125" style="113" customWidth="1"/>
    <col min="12547" max="12547" width="10" style="113" customWidth="1"/>
    <col min="12548" max="12548" width="2.33203125" style="113" customWidth="1"/>
    <col min="12549" max="12549" width="11.33203125" style="113" customWidth="1"/>
    <col min="12550" max="12550" width="2.33203125" style="113" customWidth="1"/>
    <col min="12551" max="12551" width="11.33203125" style="113" customWidth="1"/>
    <col min="12552" max="12552" width="2.33203125" style="113" customWidth="1"/>
    <col min="12553" max="12553" width="11.33203125" style="113" customWidth="1"/>
    <col min="12554" max="12554" width="2.33203125" style="113" customWidth="1"/>
    <col min="12555" max="12555" width="11.33203125" style="113" customWidth="1"/>
    <col min="12556" max="12556" width="2.33203125" style="113" customWidth="1"/>
    <col min="12557" max="12800" width="12.5" style="113"/>
    <col min="12801" max="12801" width="29.33203125" style="113" customWidth="1"/>
    <col min="12802" max="12802" width="2.33203125" style="113" customWidth="1"/>
    <col min="12803" max="12803" width="10" style="113" customWidth="1"/>
    <col min="12804" max="12804" width="2.33203125" style="113" customWidth="1"/>
    <col min="12805" max="12805" width="11.33203125" style="113" customWidth="1"/>
    <col min="12806" max="12806" width="2.33203125" style="113" customWidth="1"/>
    <col min="12807" max="12807" width="11.33203125" style="113" customWidth="1"/>
    <col min="12808" max="12808" width="2.33203125" style="113" customWidth="1"/>
    <col min="12809" max="12809" width="11.33203125" style="113" customWidth="1"/>
    <col min="12810" max="12810" width="2.33203125" style="113" customWidth="1"/>
    <col min="12811" max="12811" width="11.33203125" style="113" customWidth="1"/>
    <col min="12812" max="12812" width="2.33203125" style="113" customWidth="1"/>
    <col min="12813" max="13056" width="12.5" style="113"/>
    <col min="13057" max="13057" width="29.33203125" style="113" customWidth="1"/>
    <col min="13058" max="13058" width="2.33203125" style="113" customWidth="1"/>
    <col min="13059" max="13059" width="10" style="113" customWidth="1"/>
    <col min="13060" max="13060" width="2.33203125" style="113" customWidth="1"/>
    <col min="13061" max="13061" width="11.33203125" style="113" customWidth="1"/>
    <col min="13062" max="13062" width="2.33203125" style="113" customWidth="1"/>
    <col min="13063" max="13063" width="11.33203125" style="113" customWidth="1"/>
    <col min="13064" max="13064" width="2.33203125" style="113" customWidth="1"/>
    <col min="13065" max="13065" width="11.33203125" style="113" customWidth="1"/>
    <col min="13066" max="13066" width="2.33203125" style="113" customWidth="1"/>
    <col min="13067" max="13067" width="11.33203125" style="113" customWidth="1"/>
    <col min="13068" max="13068" width="2.33203125" style="113" customWidth="1"/>
    <col min="13069" max="13312" width="12.5" style="113"/>
    <col min="13313" max="13313" width="29.33203125" style="113" customWidth="1"/>
    <col min="13314" max="13314" width="2.33203125" style="113" customWidth="1"/>
    <col min="13315" max="13315" width="10" style="113" customWidth="1"/>
    <col min="13316" max="13316" width="2.33203125" style="113" customWidth="1"/>
    <col min="13317" max="13317" width="11.33203125" style="113" customWidth="1"/>
    <col min="13318" max="13318" width="2.33203125" style="113" customWidth="1"/>
    <col min="13319" max="13319" width="11.33203125" style="113" customWidth="1"/>
    <col min="13320" max="13320" width="2.33203125" style="113" customWidth="1"/>
    <col min="13321" max="13321" width="11.33203125" style="113" customWidth="1"/>
    <col min="13322" max="13322" width="2.33203125" style="113" customWidth="1"/>
    <col min="13323" max="13323" width="11.33203125" style="113" customWidth="1"/>
    <col min="13324" max="13324" width="2.33203125" style="113" customWidth="1"/>
    <col min="13325" max="13568" width="12.5" style="113"/>
    <col min="13569" max="13569" width="29.33203125" style="113" customWidth="1"/>
    <col min="13570" max="13570" width="2.33203125" style="113" customWidth="1"/>
    <col min="13571" max="13571" width="10" style="113" customWidth="1"/>
    <col min="13572" max="13572" width="2.33203125" style="113" customWidth="1"/>
    <col min="13573" max="13573" width="11.33203125" style="113" customWidth="1"/>
    <col min="13574" max="13574" width="2.33203125" style="113" customWidth="1"/>
    <col min="13575" max="13575" width="11.33203125" style="113" customWidth="1"/>
    <col min="13576" max="13576" width="2.33203125" style="113" customWidth="1"/>
    <col min="13577" max="13577" width="11.33203125" style="113" customWidth="1"/>
    <col min="13578" max="13578" width="2.33203125" style="113" customWidth="1"/>
    <col min="13579" max="13579" width="11.33203125" style="113" customWidth="1"/>
    <col min="13580" max="13580" width="2.33203125" style="113" customWidth="1"/>
    <col min="13581" max="13824" width="12.5" style="113"/>
    <col min="13825" max="13825" width="29.33203125" style="113" customWidth="1"/>
    <col min="13826" max="13826" width="2.33203125" style="113" customWidth="1"/>
    <col min="13827" max="13827" width="10" style="113" customWidth="1"/>
    <col min="13828" max="13828" width="2.33203125" style="113" customWidth="1"/>
    <col min="13829" max="13829" width="11.33203125" style="113" customWidth="1"/>
    <col min="13830" max="13830" width="2.33203125" style="113" customWidth="1"/>
    <col min="13831" max="13831" width="11.33203125" style="113" customWidth="1"/>
    <col min="13832" max="13832" width="2.33203125" style="113" customWidth="1"/>
    <col min="13833" max="13833" width="11.33203125" style="113" customWidth="1"/>
    <col min="13834" max="13834" width="2.33203125" style="113" customWidth="1"/>
    <col min="13835" max="13835" width="11.33203125" style="113" customWidth="1"/>
    <col min="13836" max="13836" width="2.33203125" style="113" customWidth="1"/>
    <col min="13837" max="14080" width="12.5" style="113"/>
    <col min="14081" max="14081" width="29.33203125" style="113" customWidth="1"/>
    <col min="14082" max="14082" width="2.33203125" style="113" customWidth="1"/>
    <col min="14083" max="14083" width="10" style="113" customWidth="1"/>
    <col min="14084" max="14084" width="2.33203125" style="113" customWidth="1"/>
    <col min="14085" max="14085" width="11.33203125" style="113" customWidth="1"/>
    <col min="14086" max="14086" width="2.33203125" style="113" customWidth="1"/>
    <col min="14087" max="14087" width="11.33203125" style="113" customWidth="1"/>
    <col min="14088" max="14088" width="2.33203125" style="113" customWidth="1"/>
    <col min="14089" max="14089" width="11.33203125" style="113" customWidth="1"/>
    <col min="14090" max="14090" width="2.33203125" style="113" customWidth="1"/>
    <col min="14091" max="14091" width="11.33203125" style="113" customWidth="1"/>
    <col min="14092" max="14092" width="2.33203125" style="113" customWidth="1"/>
    <col min="14093" max="14336" width="12.5" style="113"/>
    <col min="14337" max="14337" width="29.33203125" style="113" customWidth="1"/>
    <col min="14338" max="14338" width="2.33203125" style="113" customWidth="1"/>
    <col min="14339" max="14339" width="10" style="113" customWidth="1"/>
    <col min="14340" max="14340" width="2.33203125" style="113" customWidth="1"/>
    <col min="14341" max="14341" width="11.33203125" style="113" customWidth="1"/>
    <col min="14342" max="14342" width="2.33203125" style="113" customWidth="1"/>
    <col min="14343" max="14343" width="11.33203125" style="113" customWidth="1"/>
    <col min="14344" max="14344" width="2.33203125" style="113" customWidth="1"/>
    <col min="14345" max="14345" width="11.33203125" style="113" customWidth="1"/>
    <col min="14346" max="14346" width="2.33203125" style="113" customWidth="1"/>
    <col min="14347" max="14347" width="11.33203125" style="113" customWidth="1"/>
    <col min="14348" max="14348" width="2.33203125" style="113" customWidth="1"/>
    <col min="14349" max="14592" width="12.5" style="113"/>
    <col min="14593" max="14593" width="29.33203125" style="113" customWidth="1"/>
    <col min="14594" max="14594" width="2.33203125" style="113" customWidth="1"/>
    <col min="14595" max="14595" width="10" style="113" customWidth="1"/>
    <col min="14596" max="14596" width="2.33203125" style="113" customWidth="1"/>
    <col min="14597" max="14597" width="11.33203125" style="113" customWidth="1"/>
    <col min="14598" max="14598" width="2.33203125" style="113" customWidth="1"/>
    <col min="14599" max="14599" width="11.33203125" style="113" customWidth="1"/>
    <col min="14600" max="14600" width="2.33203125" style="113" customWidth="1"/>
    <col min="14601" max="14601" width="11.33203125" style="113" customWidth="1"/>
    <col min="14602" max="14602" width="2.33203125" style="113" customWidth="1"/>
    <col min="14603" max="14603" width="11.33203125" style="113" customWidth="1"/>
    <col min="14604" max="14604" width="2.33203125" style="113" customWidth="1"/>
    <col min="14605" max="14848" width="12.5" style="113"/>
    <col min="14849" max="14849" width="29.33203125" style="113" customWidth="1"/>
    <col min="14850" max="14850" width="2.33203125" style="113" customWidth="1"/>
    <col min="14851" max="14851" width="10" style="113" customWidth="1"/>
    <col min="14852" max="14852" width="2.33203125" style="113" customWidth="1"/>
    <col min="14853" max="14853" width="11.33203125" style="113" customWidth="1"/>
    <col min="14854" max="14854" width="2.33203125" style="113" customWidth="1"/>
    <col min="14855" max="14855" width="11.33203125" style="113" customWidth="1"/>
    <col min="14856" max="14856" width="2.33203125" style="113" customWidth="1"/>
    <col min="14857" max="14857" width="11.33203125" style="113" customWidth="1"/>
    <col min="14858" max="14858" width="2.33203125" style="113" customWidth="1"/>
    <col min="14859" max="14859" width="11.33203125" style="113" customWidth="1"/>
    <col min="14860" max="14860" width="2.33203125" style="113" customWidth="1"/>
    <col min="14861" max="15104" width="12.5" style="113"/>
    <col min="15105" max="15105" width="29.33203125" style="113" customWidth="1"/>
    <col min="15106" max="15106" width="2.33203125" style="113" customWidth="1"/>
    <col min="15107" max="15107" width="10" style="113" customWidth="1"/>
    <col min="15108" max="15108" width="2.33203125" style="113" customWidth="1"/>
    <col min="15109" max="15109" width="11.33203125" style="113" customWidth="1"/>
    <col min="15110" max="15110" width="2.33203125" style="113" customWidth="1"/>
    <col min="15111" max="15111" width="11.33203125" style="113" customWidth="1"/>
    <col min="15112" max="15112" width="2.33203125" style="113" customWidth="1"/>
    <col min="15113" max="15113" width="11.33203125" style="113" customWidth="1"/>
    <col min="15114" max="15114" width="2.33203125" style="113" customWidth="1"/>
    <col min="15115" max="15115" width="11.33203125" style="113" customWidth="1"/>
    <col min="15116" max="15116" width="2.33203125" style="113" customWidth="1"/>
    <col min="15117" max="15360" width="12.5" style="113"/>
    <col min="15361" max="15361" width="29.33203125" style="113" customWidth="1"/>
    <col min="15362" max="15362" width="2.33203125" style="113" customWidth="1"/>
    <col min="15363" max="15363" width="10" style="113" customWidth="1"/>
    <col min="15364" max="15364" width="2.33203125" style="113" customWidth="1"/>
    <col min="15365" max="15365" width="11.33203125" style="113" customWidth="1"/>
    <col min="15366" max="15366" width="2.33203125" style="113" customWidth="1"/>
    <col min="15367" max="15367" width="11.33203125" style="113" customWidth="1"/>
    <col min="15368" max="15368" width="2.33203125" style="113" customWidth="1"/>
    <col min="15369" max="15369" width="11.33203125" style="113" customWidth="1"/>
    <col min="15370" max="15370" width="2.33203125" style="113" customWidth="1"/>
    <col min="15371" max="15371" width="11.33203125" style="113" customWidth="1"/>
    <col min="15372" max="15372" width="2.33203125" style="113" customWidth="1"/>
    <col min="15373" max="15616" width="12.5" style="113"/>
    <col min="15617" max="15617" width="29.33203125" style="113" customWidth="1"/>
    <col min="15618" max="15618" width="2.33203125" style="113" customWidth="1"/>
    <col min="15619" max="15619" width="10" style="113" customWidth="1"/>
    <col min="15620" max="15620" width="2.33203125" style="113" customWidth="1"/>
    <col min="15621" max="15621" width="11.33203125" style="113" customWidth="1"/>
    <col min="15622" max="15622" width="2.33203125" style="113" customWidth="1"/>
    <col min="15623" max="15623" width="11.33203125" style="113" customWidth="1"/>
    <col min="15624" max="15624" width="2.33203125" style="113" customWidth="1"/>
    <col min="15625" max="15625" width="11.33203125" style="113" customWidth="1"/>
    <col min="15626" max="15626" width="2.33203125" style="113" customWidth="1"/>
    <col min="15627" max="15627" width="11.33203125" style="113" customWidth="1"/>
    <col min="15628" max="15628" width="2.33203125" style="113" customWidth="1"/>
    <col min="15629" max="15872" width="12.5" style="113"/>
    <col min="15873" max="15873" width="29.33203125" style="113" customWidth="1"/>
    <col min="15874" max="15874" width="2.33203125" style="113" customWidth="1"/>
    <col min="15875" max="15875" width="10" style="113" customWidth="1"/>
    <col min="15876" max="15876" width="2.33203125" style="113" customWidth="1"/>
    <col min="15877" max="15877" width="11.33203125" style="113" customWidth="1"/>
    <col min="15878" max="15878" width="2.33203125" style="113" customWidth="1"/>
    <col min="15879" max="15879" width="11.33203125" style="113" customWidth="1"/>
    <col min="15880" max="15880" width="2.33203125" style="113" customWidth="1"/>
    <col min="15881" max="15881" width="11.33203125" style="113" customWidth="1"/>
    <col min="15882" max="15882" width="2.33203125" style="113" customWidth="1"/>
    <col min="15883" max="15883" width="11.33203125" style="113" customWidth="1"/>
    <col min="15884" max="15884" width="2.33203125" style="113" customWidth="1"/>
    <col min="15885" max="16128" width="12.5" style="113"/>
    <col min="16129" max="16129" width="29.33203125" style="113" customWidth="1"/>
    <col min="16130" max="16130" width="2.33203125" style="113" customWidth="1"/>
    <col min="16131" max="16131" width="10" style="113" customWidth="1"/>
    <col min="16132" max="16132" width="2.33203125" style="113" customWidth="1"/>
    <col min="16133" max="16133" width="11.33203125" style="113" customWidth="1"/>
    <col min="16134" max="16134" width="2.33203125" style="113" customWidth="1"/>
    <col min="16135" max="16135" width="11.33203125" style="113" customWidth="1"/>
    <col min="16136" max="16136" width="2.33203125" style="113" customWidth="1"/>
    <col min="16137" max="16137" width="11.33203125" style="113" customWidth="1"/>
    <col min="16138" max="16138" width="2.33203125" style="113" customWidth="1"/>
    <col min="16139" max="16139" width="11.33203125" style="113" customWidth="1"/>
    <col min="16140" max="16140" width="2.33203125" style="113" customWidth="1"/>
    <col min="16141" max="16384" width="12.5" style="113"/>
  </cols>
  <sheetData>
    <row r="1" spans="1:13" ht="11.25" customHeight="1">
      <c r="A1" s="396" t="s">
        <v>254</v>
      </c>
      <c r="B1" s="397"/>
      <c r="C1" s="397"/>
      <c r="D1" s="397"/>
      <c r="E1" s="397"/>
      <c r="F1" s="397"/>
      <c r="G1" s="397"/>
      <c r="H1" s="397"/>
      <c r="I1" s="397"/>
      <c r="J1" s="397"/>
      <c r="K1" s="397"/>
      <c r="L1" s="397"/>
      <c r="M1" s="112"/>
    </row>
    <row r="2" spans="1:13" ht="11.25" customHeight="1">
      <c r="A2" s="396" t="s">
        <v>255</v>
      </c>
      <c r="B2" s="397"/>
      <c r="C2" s="397"/>
      <c r="D2" s="397"/>
      <c r="E2" s="397"/>
      <c r="F2" s="397"/>
      <c r="G2" s="397"/>
      <c r="H2" s="397"/>
      <c r="I2" s="397"/>
      <c r="J2" s="397"/>
      <c r="K2" s="397"/>
      <c r="L2" s="397"/>
      <c r="M2" s="112"/>
    </row>
    <row r="3" spans="1:13" ht="11.25" customHeight="1">
      <c r="A3" s="396"/>
      <c r="B3" s="397"/>
      <c r="C3" s="397"/>
      <c r="D3" s="397"/>
      <c r="E3" s="397"/>
      <c r="F3" s="397"/>
      <c r="G3" s="397"/>
      <c r="H3" s="397"/>
      <c r="I3" s="397"/>
      <c r="J3" s="397"/>
      <c r="K3" s="397"/>
      <c r="L3" s="397"/>
      <c r="M3" s="112"/>
    </row>
    <row r="4" spans="1:13" ht="11.25" customHeight="1">
      <c r="A4" s="396" t="s">
        <v>0</v>
      </c>
      <c r="B4" s="397"/>
      <c r="C4" s="397"/>
      <c r="D4" s="397"/>
      <c r="E4" s="397"/>
      <c r="F4" s="397"/>
      <c r="G4" s="397"/>
      <c r="H4" s="397"/>
      <c r="I4" s="397"/>
      <c r="J4" s="397"/>
      <c r="K4" s="397"/>
      <c r="L4" s="397"/>
      <c r="M4" s="112"/>
    </row>
    <row r="5" spans="1:13" ht="11.25" customHeight="1">
      <c r="A5" s="396"/>
      <c r="B5" s="397"/>
      <c r="C5" s="397"/>
      <c r="D5" s="397"/>
      <c r="E5" s="397"/>
      <c r="F5" s="397"/>
      <c r="G5" s="397"/>
      <c r="H5" s="397"/>
      <c r="I5" s="397"/>
      <c r="J5" s="397"/>
      <c r="K5" s="397"/>
      <c r="L5" s="397"/>
      <c r="M5" s="112"/>
    </row>
    <row r="6" spans="1:13" ht="11.25" customHeight="1">
      <c r="A6" s="114" t="s">
        <v>94</v>
      </c>
      <c r="B6" s="115"/>
      <c r="C6" s="116">
        <v>1998</v>
      </c>
      <c r="D6" s="117"/>
      <c r="E6" s="116" t="s">
        <v>3</v>
      </c>
      <c r="F6" s="117"/>
      <c r="G6" s="116" t="s">
        <v>4</v>
      </c>
      <c r="H6" s="117"/>
      <c r="I6" s="116" t="s">
        <v>5</v>
      </c>
      <c r="J6" s="117"/>
      <c r="K6" s="116" t="s">
        <v>6</v>
      </c>
      <c r="L6" s="117"/>
      <c r="M6" s="112"/>
    </row>
    <row r="7" spans="1:13" ht="11.25" customHeight="1">
      <c r="A7" s="118" t="s">
        <v>256</v>
      </c>
      <c r="B7" s="118"/>
      <c r="C7" s="119">
        <v>10</v>
      </c>
      <c r="D7" s="119"/>
      <c r="E7" s="119">
        <v>10</v>
      </c>
      <c r="F7" s="119"/>
      <c r="G7" s="119">
        <v>10</v>
      </c>
      <c r="H7" s="119"/>
      <c r="I7" s="119">
        <v>10</v>
      </c>
      <c r="J7" s="119"/>
      <c r="K7" s="119">
        <v>10</v>
      </c>
      <c r="L7" s="119"/>
      <c r="M7" s="112"/>
    </row>
    <row r="8" spans="1:13" ht="11.25" customHeight="1">
      <c r="A8" s="120" t="s">
        <v>257</v>
      </c>
      <c r="B8" s="118"/>
      <c r="C8" s="119">
        <v>800</v>
      </c>
      <c r="D8" s="121" t="s">
        <v>8</v>
      </c>
      <c r="E8" s="119">
        <v>1000</v>
      </c>
      <c r="F8" s="121" t="s">
        <v>8</v>
      </c>
      <c r="G8" s="119">
        <v>1100</v>
      </c>
      <c r="H8" s="121" t="s">
        <v>8</v>
      </c>
      <c r="I8" s="119">
        <v>1250</v>
      </c>
      <c r="J8" s="121" t="s">
        <v>8</v>
      </c>
      <c r="K8" s="119">
        <v>1250</v>
      </c>
      <c r="L8" s="119"/>
      <c r="M8" s="112"/>
    </row>
    <row r="9" spans="1:13" ht="11.25" customHeight="1">
      <c r="A9" s="120" t="s">
        <v>258</v>
      </c>
      <c r="B9" s="118"/>
      <c r="C9" s="119">
        <f>C10+C11</f>
        <v>3659.7439999999997</v>
      </c>
      <c r="D9" s="119"/>
      <c r="E9" s="119">
        <f t="shared" ref="E9:K9" si="0">E10+E11</f>
        <v>2974.2080000000001</v>
      </c>
      <c r="F9" s="119"/>
      <c r="G9" s="119">
        <f t="shared" si="0"/>
        <v>3608</v>
      </c>
      <c r="H9" s="119"/>
      <c r="I9" s="119">
        <f t="shared" si="0"/>
        <v>3189</v>
      </c>
      <c r="J9" s="119"/>
      <c r="K9" s="119">
        <f t="shared" si="0"/>
        <v>3360</v>
      </c>
      <c r="L9" s="119"/>
      <c r="M9" s="112"/>
    </row>
    <row r="10" spans="1:13" ht="11.25" customHeight="1">
      <c r="A10" s="122" t="s">
        <v>259</v>
      </c>
      <c r="B10" s="118"/>
      <c r="C10" s="119">
        <v>2121.587</v>
      </c>
      <c r="D10" s="119"/>
      <c r="E10" s="119">
        <v>1985.202</v>
      </c>
      <c r="F10" s="119"/>
      <c r="G10" s="119">
        <v>2188</v>
      </c>
      <c r="H10" s="119"/>
      <c r="I10" s="119">
        <v>1909</v>
      </c>
      <c r="J10" s="121" t="s">
        <v>8</v>
      </c>
      <c r="K10" s="119">
        <v>1910</v>
      </c>
      <c r="L10" s="123">
        <v>6</v>
      </c>
      <c r="M10" s="112"/>
    </row>
    <row r="11" spans="1:13" ht="11.25" customHeight="1">
      <c r="A11" s="122" t="s">
        <v>260</v>
      </c>
      <c r="B11" s="118"/>
      <c r="C11" s="119">
        <v>1538.1569999999999</v>
      </c>
      <c r="D11" s="119"/>
      <c r="E11" s="119">
        <v>989.00599999999997</v>
      </c>
      <c r="F11" s="119"/>
      <c r="G11" s="119">
        <v>1420</v>
      </c>
      <c r="H11" s="119"/>
      <c r="I11" s="119">
        <v>1280</v>
      </c>
      <c r="J11" s="121"/>
      <c r="K11" s="119">
        <v>1450</v>
      </c>
      <c r="L11" s="123">
        <v>6</v>
      </c>
      <c r="M11" s="112"/>
    </row>
    <row r="12" spans="1:13" ht="11.25" customHeight="1">
      <c r="A12" s="120" t="s">
        <v>10</v>
      </c>
      <c r="B12" s="118"/>
      <c r="C12" s="119">
        <v>7724</v>
      </c>
      <c r="D12" s="119"/>
      <c r="E12" s="119">
        <v>7468</v>
      </c>
      <c r="F12" s="119"/>
      <c r="G12" s="119">
        <v>7000</v>
      </c>
      <c r="H12" s="121" t="s">
        <v>9</v>
      </c>
      <c r="I12" s="119">
        <v>7200</v>
      </c>
      <c r="J12" s="121" t="s">
        <v>9</v>
      </c>
      <c r="K12" s="119">
        <v>7300</v>
      </c>
      <c r="L12" s="124"/>
      <c r="M12" s="112"/>
    </row>
    <row r="13" spans="1:13" ht="11.25" customHeight="1">
      <c r="A13" s="120" t="s">
        <v>11</v>
      </c>
      <c r="B13" s="118"/>
      <c r="C13" s="119">
        <v>4022</v>
      </c>
      <c r="D13" s="119"/>
      <c r="E13" s="119">
        <v>3913</v>
      </c>
      <c r="F13" s="119"/>
      <c r="G13" s="119">
        <v>4318</v>
      </c>
      <c r="H13" s="119"/>
      <c r="I13" s="119">
        <v>4300</v>
      </c>
      <c r="J13" s="119"/>
      <c r="K13" s="119">
        <v>4300</v>
      </c>
      <c r="L13" s="124"/>
      <c r="M13" s="112"/>
    </row>
    <row r="14" spans="1:13" ht="11.25" customHeight="1">
      <c r="A14" s="120" t="s">
        <v>261</v>
      </c>
      <c r="B14" s="118"/>
      <c r="C14" s="119">
        <v>8730</v>
      </c>
      <c r="D14" s="119"/>
      <c r="E14" s="119">
        <v>8472</v>
      </c>
      <c r="F14" s="119"/>
      <c r="G14" s="119">
        <v>8472</v>
      </c>
      <c r="H14" s="119"/>
      <c r="I14" s="119">
        <v>7732</v>
      </c>
      <c r="J14" s="121" t="s">
        <v>8</v>
      </c>
      <c r="K14" s="119">
        <v>8053</v>
      </c>
      <c r="L14" s="123">
        <v>6</v>
      </c>
      <c r="M14" s="112"/>
    </row>
    <row r="15" spans="1:13" ht="11.25" customHeight="1">
      <c r="A15" s="120" t="s">
        <v>14</v>
      </c>
      <c r="B15" s="118"/>
      <c r="C15" s="119">
        <v>100</v>
      </c>
      <c r="D15" s="119"/>
      <c r="E15" s="119">
        <v>100</v>
      </c>
      <c r="F15" s="119"/>
      <c r="G15" s="119">
        <v>100</v>
      </c>
      <c r="H15" s="119"/>
      <c r="I15" s="119">
        <v>100</v>
      </c>
      <c r="J15" s="119"/>
      <c r="K15" s="119">
        <v>100</v>
      </c>
      <c r="L15" s="119"/>
      <c r="M15" s="112"/>
    </row>
    <row r="16" spans="1:13" ht="11.25" customHeight="1">
      <c r="A16" s="120" t="s">
        <v>196</v>
      </c>
      <c r="B16" s="118"/>
      <c r="C16" s="119">
        <f>SUM(C17:C18)</f>
        <v>25447</v>
      </c>
      <c r="D16" s="119"/>
      <c r="E16" s="119">
        <f t="shared" ref="E16:K16" si="1">SUM(E17:E18)</f>
        <v>25460</v>
      </c>
      <c r="F16" s="119"/>
      <c r="G16" s="119">
        <f t="shared" si="1"/>
        <v>28141</v>
      </c>
      <c r="H16" s="119"/>
      <c r="I16" s="119">
        <f t="shared" si="1"/>
        <v>27841</v>
      </c>
      <c r="J16" s="119"/>
      <c r="K16" s="119">
        <f t="shared" si="1"/>
        <v>28181</v>
      </c>
      <c r="L16" s="119"/>
      <c r="M16" s="112"/>
    </row>
    <row r="17" spans="1:13" ht="11.25" customHeight="1">
      <c r="A17" s="122" t="s">
        <v>259</v>
      </c>
      <c r="B17" s="118"/>
      <c r="C17" s="119">
        <v>25111</v>
      </c>
      <c r="D17" s="121" t="s">
        <v>8</v>
      </c>
      <c r="E17" s="119">
        <v>25060</v>
      </c>
      <c r="F17" s="121" t="s">
        <v>8</v>
      </c>
      <c r="G17" s="119">
        <v>27723</v>
      </c>
      <c r="H17" s="121" t="s">
        <v>8</v>
      </c>
      <c r="I17" s="119">
        <v>27441</v>
      </c>
      <c r="J17" s="121" t="s">
        <v>8</v>
      </c>
      <c r="K17" s="119">
        <v>27781</v>
      </c>
      <c r="L17" s="123">
        <v>6</v>
      </c>
      <c r="M17" s="112"/>
    </row>
    <row r="18" spans="1:13" ht="11.25" customHeight="1">
      <c r="A18" s="122" t="s">
        <v>260</v>
      </c>
      <c r="B18" s="118"/>
      <c r="C18" s="119">
        <v>336</v>
      </c>
      <c r="D18" s="119"/>
      <c r="E18" s="119">
        <v>400</v>
      </c>
      <c r="F18" s="119"/>
      <c r="G18" s="119">
        <v>418</v>
      </c>
      <c r="H18" s="119"/>
      <c r="I18" s="119">
        <v>400</v>
      </c>
      <c r="J18" s="121" t="s">
        <v>9</v>
      </c>
      <c r="K18" s="119">
        <v>400</v>
      </c>
      <c r="L18" s="119"/>
      <c r="M18" s="112"/>
    </row>
    <row r="19" spans="1:13" ht="11.25" customHeight="1">
      <c r="A19" s="120" t="s">
        <v>16</v>
      </c>
      <c r="B19" s="118"/>
      <c r="C19" s="119">
        <v>1389</v>
      </c>
      <c r="D19" s="119"/>
      <c r="E19" s="119">
        <v>1130</v>
      </c>
      <c r="F19" s="119"/>
      <c r="G19" s="119">
        <v>1220</v>
      </c>
      <c r="H19" s="119"/>
      <c r="I19" s="119">
        <v>1160</v>
      </c>
      <c r="J19" s="121" t="s">
        <v>8</v>
      </c>
      <c r="K19" s="119">
        <v>1120</v>
      </c>
      <c r="L19" s="119"/>
      <c r="M19" s="112"/>
    </row>
    <row r="20" spans="1:13" ht="11.25" customHeight="1">
      <c r="A20" s="120" t="s">
        <v>262</v>
      </c>
      <c r="B20" s="118"/>
      <c r="C20" s="119">
        <f>SUM(C21:C22)</f>
        <v>42</v>
      </c>
      <c r="D20" s="119"/>
      <c r="E20" s="119">
        <f t="shared" ref="E20:K20" si="2">SUM(E21:E22)</f>
        <v>41.5</v>
      </c>
      <c r="F20" s="119"/>
      <c r="G20" s="119">
        <f t="shared" si="2"/>
        <v>41.5</v>
      </c>
      <c r="H20" s="119"/>
      <c r="I20" s="119">
        <f t="shared" si="2"/>
        <v>41.5</v>
      </c>
      <c r="J20" s="119"/>
      <c r="K20" s="119">
        <f t="shared" si="2"/>
        <v>41.5</v>
      </c>
      <c r="L20" s="119"/>
      <c r="M20" s="112"/>
    </row>
    <row r="21" spans="1:13" ht="11.25" customHeight="1">
      <c r="A21" s="122" t="s">
        <v>259</v>
      </c>
      <c r="B21" s="118"/>
      <c r="C21" s="125">
        <v>2</v>
      </c>
      <c r="D21" s="121" t="s">
        <v>8</v>
      </c>
      <c r="E21" s="119">
        <v>1.5</v>
      </c>
      <c r="F21" s="119"/>
      <c r="G21" s="119">
        <v>1.5</v>
      </c>
      <c r="H21" s="119"/>
      <c r="I21" s="119">
        <v>1.5</v>
      </c>
      <c r="J21" s="119"/>
      <c r="K21" s="119">
        <v>1.5</v>
      </c>
      <c r="L21" s="119"/>
      <c r="M21" s="112"/>
    </row>
    <row r="22" spans="1:13" ht="11.25" customHeight="1">
      <c r="A22" s="122" t="s">
        <v>260</v>
      </c>
      <c r="B22" s="118"/>
      <c r="C22" s="119">
        <v>40</v>
      </c>
      <c r="D22" s="119"/>
      <c r="E22" s="119">
        <v>40</v>
      </c>
      <c r="F22" s="119"/>
      <c r="G22" s="119">
        <v>40</v>
      </c>
      <c r="H22" s="119"/>
      <c r="I22" s="119">
        <v>40</v>
      </c>
      <c r="J22" s="119"/>
      <c r="K22" s="119">
        <v>40</v>
      </c>
      <c r="L22" s="119"/>
      <c r="M22" s="112"/>
    </row>
    <row r="23" spans="1:13" ht="11.25" customHeight="1">
      <c r="A23" s="120" t="s">
        <v>197</v>
      </c>
      <c r="B23" s="118"/>
      <c r="C23" s="119">
        <f>C24+C25</f>
        <v>10177</v>
      </c>
      <c r="D23" s="119"/>
      <c r="E23" s="119">
        <f t="shared" ref="E23:K23" si="3">E24+E25</f>
        <v>9703</v>
      </c>
      <c r="F23" s="119"/>
      <c r="G23" s="119">
        <f t="shared" si="3"/>
        <v>9820</v>
      </c>
      <c r="H23" s="119"/>
      <c r="I23" s="119">
        <f t="shared" si="3"/>
        <v>1798</v>
      </c>
      <c r="J23" s="119"/>
      <c r="K23" s="119">
        <f t="shared" si="3"/>
        <v>9720</v>
      </c>
      <c r="L23" s="119"/>
      <c r="M23" s="112"/>
    </row>
    <row r="24" spans="1:13" ht="11.25" customHeight="1">
      <c r="A24" s="122" t="s">
        <v>259</v>
      </c>
      <c r="B24" s="118"/>
      <c r="C24" s="119">
        <v>8937</v>
      </c>
      <c r="D24" s="119"/>
      <c r="E24" s="119">
        <v>8783</v>
      </c>
      <c r="F24" s="119"/>
      <c r="G24" s="119">
        <v>8900</v>
      </c>
      <c r="H24" s="121" t="s">
        <v>8</v>
      </c>
      <c r="I24" s="119">
        <v>878</v>
      </c>
      <c r="J24" s="121" t="s">
        <v>8</v>
      </c>
      <c r="K24" s="119">
        <v>8800</v>
      </c>
      <c r="L24" s="121" t="s">
        <v>17</v>
      </c>
      <c r="M24" s="112"/>
    </row>
    <row r="25" spans="1:13" ht="11.25" customHeight="1">
      <c r="A25" s="122" t="s">
        <v>260</v>
      </c>
      <c r="B25" s="118"/>
      <c r="C25" s="119">
        <v>1240</v>
      </c>
      <c r="D25" s="119"/>
      <c r="E25" s="119">
        <v>920</v>
      </c>
      <c r="F25" s="119"/>
      <c r="G25" s="119">
        <v>920</v>
      </c>
      <c r="H25" s="121" t="s">
        <v>8</v>
      </c>
      <c r="I25" s="119">
        <v>920</v>
      </c>
      <c r="J25" s="121" t="s">
        <v>8</v>
      </c>
      <c r="K25" s="119">
        <v>920</v>
      </c>
      <c r="L25" s="121" t="s">
        <v>17</v>
      </c>
      <c r="M25" s="112"/>
    </row>
    <row r="26" spans="1:13" ht="11.25" customHeight="1">
      <c r="A26" s="120" t="s">
        <v>18</v>
      </c>
      <c r="B26" s="118"/>
      <c r="C26" s="119">
        <v>993</v>
      </c>
      <c r="D26" s="119"/>
      <c r="E26" s="119">
        <v>1030</v>
      </c>
      <c r="F26" s="119"/>
      <c r="G26" s="119">
        <v>1065</v>
      </c>
      <c r="H26" s="121" t="s">
        <v>8</v>
      </c>
      <c r="I26" s="119">
        <v>897</v>
      </c>
      <c r="J26" s="121" t="s">
        <v>8</v>
      </c>
      <c r="K26" s="119">
        <v>964</v>
      </c>
      <c r="L26" s="123">
        <v>6</v>
      </c>
      <c r="M26" s="112"/>
    </row>
    <row r="27" spans="1:13" ht="11.25" customHeight="1">
      <c r="A27" s="120" t="s">
        <v>263</v>
      </c>
      <c r="B27" s="118"/>
      <c r="C27" s="119">
        <v>118600</v>
      </c>
      <c r="D27" s="119"/>
      <c r="E27" s="119">
        <v>125390</v>
      </c>
      <c r="F27" s="119"/>
      <c r="G27" s="119">
        <v>131010</v>
      </c>
      <c r="H27" s="119"/>
      <c r="I27" s="119">
        <v>155540</v>
      </c>
      <c r="J27" s="121" t="s">
        <v>8</v>
      </c>
      <c r="K27" s="119">
        <v>170750</v>
      </c>
      <c r="L27" s="123">
        <v>6</v>
      </c>
      <c r="M27" s="112"/>
    </row>
    <row r="28" spans="1:13" ht="11.25" customHeight="1">
      <c r="A28" s="120" t="s">
        <v>20</v>
      </c>
      <c r="B28" s="118"/>
      <c r="C28" s="119">
        <v>255.89599999999999</v>
      </c>
      <c r="D28" s="119"/>
      <c r="E28" s="119">
        <v>264.36200000000002</v>
      </c>
      <c r="F28" s="119"/>
      <c r="G28" s="119">
        <v>272</v>
      </c>
      <c r="H28" s="119"/>
      <c r="I28" s="119">
        <v>319</v>
      </c>
      <c r="J28" s="121" t="s">
        <v>8</v>
      </c>
      <c r="K28" s="119">
        <v>309.3</v>
      </c>
      <c r="L28" s="123">
        <v>6</v>
      </c>
      <c r="M28" s="112"/>
    </row>
    <row r="29" spans="1:13" ht="11.25" customHeight="1">
      <c r="A29" s="120" t="s">
        <v>264</v>
      </c>
      <c r="B29" s="118"/>
      <c r="C29" s="119">
        <v>4982</v>
      </c>
      <c r="D29" s="119"/>
      <c r="E29" s="119">
        <v>4022</v>
      </c>
      <c r="F29" s="119"/>
      <c r="G29" s="119">
        <v>4621</v>
      </c>
      <c r="H29" s="119"/>
      <c r="I29" s="119">
        <v>4671</v>
      </c>
      <c r="J29" s="121" t="s">
        <v>8</v>
      </c>
      <c r="K29" s="119">
        <v>4700</v>
      </c>
      <c r="L29" s="124"/>
      <c r="M29" s="112"/>
    </row>
    <row r="30" spans="1:13" ht="11.25" customHeight="1">
      <c r="A30" s="120" t="s">
        <v>198</v>
      </c>
      <c r="B30" s="118"/>
      <c r="C30" s="119">
        <f>C31+C32</f>
        <v>2944</v>
      </c>
      <c r="D30" s="119"/>
      <c r="E30" s="119">
        <f t="shared" ref="E30:K30" si="4">E31+E32</f>
        <v>2970</v>
      </c>
      <c r="F30" s="119"/>
      <c r="G30" s="119">
        <f t="shared" si="4"/>
        <v>3510</v>
      </c>
      <c r="H30" s="119"/>
      <c r="I30" s="119">
        <f t="shared" si="4"/>
        <v>3770</v>
      </c>
      <c r="J30" s="119"/>
      <c r="K30" s="119">
        <f t="shared" si="4"/>
        <v>3930</v>
      </c>
      <c r="L30" s="124"/>
      <c r="M30" s="112"/>
    </row>
    <row r="31" spans="1:13" ht="11.25" customHeight="1">
      <c r="A31" s="122" t="s">
        <v>265</v>
      </c>
      <c r="B31" s="118"/>
      <c r="C31" s="119">
        <v>1334</v>
      </c>
      <c r="D31" s="123">
        <v>6</v>
      </c>
      <c r="E31" s="119">
        <v>1300</v>
      </c>
      <c r="F31" s="121" t="s">
        <v>8</v>
      </c>
      <c r="G31" s="119">
        <v>1400</v>
      </c>
      <c r="H31" s="121" t="s">
        <v>8</v>
      </c>
      <c r="I31" s="119">
        <v>1400</v>
      </c>
      <c r="J31" s="121" t="s">
        <v>8</v>
      </c>
      <c r="K31" s="119">
        <v>1400</v>
      </c>
      <c r="L31" s="124"/>
      <c r="M31" s="112"/>
    </row>
    <row r="32" spans="1:13" ht="11.25" customHeight="1">
      <c r="A32" s="122" t="s">
        <v>266</v>
      </c>
      <c r="B32" s="118"/>
      <c r="C32" s="119">
        <v>1610</v>
      </c>
      <c r="D32" s="119"/>
      <c r="E32" s="119">
        <v>1670</v>
      </c>
      <c r="F32" s="119"/>
      <c r="G32" s="119">
        <v>2110</v>
      </c>
      <c r="H32" s="121" t="s">
        <v>8</v>
      </c>
      <c r="I32" s="119">
        <v>2370</v>
      </c>
      <c r="J32" s="119"/>
      <c r="K32" s="119">
        <v>2530</v>
      </c>
      <c r="L32" s="124"/>
      <c r="M32" s="112"/>
    </row>
    <row r="33" spans="1:13" ht="11.25" customHeight="1">
      <c r="A33" s="120" t="s">
        <v>267</v>
      </c>
      <c r="B33" s="118"/>
      <c r="C33" s="119">
        <v>2912</v>
      </c>
      <c r="D33" s="119"/>
      <c r="E33" s="119">
        <v>2954</v>
      </c>
      <c r="F33" s="119"/>
      <c r="G33" s="119">
        <v>2983</v>
      </c>
      <c r="H33" s="119"/>
      <c r="I33" s="119">
        <v>2900</v>
      </c>
      <c r="J33" s="119"/>
      <c r="K33" s="119">
        <v>3000</v>
      </c>
      <c r="L33" s="124"/>
      <c r="M33" s="112"/>
    </row>
    <row r="34" spans="1:13" ht="11.25" customHeight="1">
      <c r="A34" s="120" t="s">
        <v>268</v>
      </c>
      <c r="B34" s="118"/>
      <c r="C34" s="119">
        <v>13603</v>
      </c>
      <c r="D34" s="119"/>
      <c r="E34" s="119">
        <v>13854</v>
      </c>
      <c r="F34" s="119"/>
      <c r="G34" s="119">
        <v>13621</v>
      </c>
      <c r="H34" s="119"/>
      <c r="I34" s="119">
        <v>12004</v>
      </c>
      <c r="J34" s="121" t="s">
        <v>8</v>
      </c>
      <c r="K34" s="119">
        <v>13217</v>
      </c>
      <c r="L34" s="123">
        <v>6</v>
      </c>
      <c r="M34" s="112"/>
    </row>
    <row r="35" spans="1:13" ht="11.25" customHeight="1">
      <c r="A35" s="120" t="s">
        <v>199</v>
      </c>
      <c r="B35" s="118"/>
      <c r="C35" s="119">
        <f>C36+C37</f>
        <v>30612</v>
      </c>
      <c r="D35" s="119"/>
      <c r="E35" s="119">
        <f t="shared" ref="E35:K35" si="5">E36+E37</f>
        <v>28331</v>
      </c>
      <c r="F35" s="119"/>
      <c r="G35" s="119">
        <f t="shared" si="5"/>
        <v>31246</v>
      </c>
      <c r="H35" s="119"/>
      <c r="I35" s="119">
        <f t="shared" si="5"/>
        <v>29584</v>
      </c>
      <c r="J35" s="119"/>
      <c r="K35" s="119">
        <f t="shared" si="5"/>
        <v>29819</v>
      </c>
      <c r="L35" s="124"/>
      <c r="M35" s="112"/>
    </row>
    <row r="36" spans="1:13" ht="11.25" customHeight="1">
      <c r="A36" s="122" t="s">
        <v>259</v>
      </c>
      <c r="B36" s="118"/>
      <c r="C36" s="119">
        <v>30162</v>
      </c>
      <c r="D36" s="119"/>
      <c r="E36" s="119">
        <v>27931</v>
      </c>
      <c r="F36" s="119"/>
      <c r="G36" s="119">
        <v>30846</v>
      </c>
      <c r="H36" s="119"/>
      <c r="I36" s="119">
        <v>29184</v>
      </c>
      <c r="J36" s="123" t="s">
        <v>269</v>
      </c>
      <c r="K36" s="119">
        <v>29419</v>
      </c>
      <c r="L36" s="123">
        <v>6</v>
      </c>
      <c r="M36" s="112"/>
    </row>
    <row r="37" spans="1:13" ht="11.25" customHeight="1">
      <c r="A37" s="122" t="s">
        <v>260</v>
      </c>
      <c r="B37" s="118"/>
      <c r="C37" s="119">
        <v>450</v>
      </c>
      <c r="D37" s="119"/>
      <c r="E37" s="119">
        <v>400</v>
      </c>
      <c r="F37" s="119"/>
      <c r="G37" s="119">
        <v>400</v>
      </c>
      <c r="H37" s="121" t="s">
        <v>9</v>
      </c>
      <c r="I37" s="119">
        <v>400</v>
      </c>
      <c r="J37" s="119"/>
      <c r="K37" s="119">
        <v>400</v>
      </c>
      <c r="L37" s="124"/>
      <c r="M37" s="112"/>
    </row>
    <row r="38" spans="1:13" ht="11.25" customHeight="1">
      <c r="A38" s="120" t="s">
        <v>270</v>
      </c>
      <c r="B38" s="118"/>
      <c r="C38" s="119">
        <v>1258</v>
      </c>
      <c r="D38" s="119"/>
      <c r="E38" s="119">
        <v>1309</v>
      </c>
      <c r="F38" s="119"/>
      <c r="G38" s="119">
        <v>1340</v>
      </c>
      <c r="H38" s="119"/>
      <c r="I38" s="119">
        <v>1226</v>
      </c>
      <c r="J38" s="121" t="s">
        <v>8</v>
      </c>
      <c r="K38" s="119">
        <v>1306</v>
      </c>
      <c r="L38" s="123">
        <v>6</v>
      </c>
      <c r="M38" s="112"/>
    </row>
    <row r="39" spans="1:13" ht="11.25" customHeight="1">
      <c r="A39" s="120" t="s">
        <v>200</v>
      </c>
      <c r="B39" s="118"/>
      <c r="C39" s="119">
        <f>C40+C41</f>
        <v>25454</v>
      </c>
      <c r="D39" s="119"/>
      <c r="E39" s="119">
        <f t="shared" ref="E39:K39" si="6">E40+E41</f>
        <v>25359</v>
      </c>
      <c r="F39" s="119"/>
      <c r="G39" s="119">
        <f t="shared" si="6"/>
        <v>26761</v>
      </c>
      <c r="H39" s="119"/>
      <c r="I39" s="119">
        <f t="shared" si="6"/>
        <v>27490</v>
      </c>
      <c r="J39" s="119"/>
      <c r="K39" s="119">
        <f t="shared" si="6"/>
        <v>27600</v>
      </c>
      <c r="L39" s="124"/>
      <c r="M39" s="112"/>
    </row>
    <row r="40" spans="1:13" ht="11.25" customHeight="1">
      <c r="A40" s="122" t="s">
        <v>259</v>
      </c>
      <c r="B40" s="118"/>
      <c r="C40" s="119">
        <v>20194</v>
      </c>
      <c r="D40" s="119"/>
      <c r="E40" s="119">
        <v>20139</v>
      </c>
      <c r="F40" s="119"/>
      <c r="G40" s="119">
        <v>21321</v>
      </c>
      <c r="H40" s="119"/>
      <c r="I40" s="119">
        <v>21900</v>
      </c>
      <c r="J40" s="119"/>
      <c r="K40" s="119">
        <v>22000</v>
      </c>
      <c r="L40" s="124"/>
      <c r="M40" s="112"/>
    </row>
    <row r="41" spans="1:13" ht="11.25" customHeight="1">
      <c r="A41" s="122" t="s">
        <v>260</v>
      </c>
      <c r="B41" s="118"/>
      <c r="C41" s="119">
        <v>5260</v>
      </c>
      <c r="D41" s="119"/>
      <c r="E41" s="119">
        <v>5220</v>
      </c>
      <c r="F41" s="119"/>
      <c r="G41" s="119">
        <v>5440</v>
      </c>
      <c r="H41" s="119"/>
      <c r="I41" s="119">
        <v>5590</v>
      </c>
      <c r="J41" s="119"/>
      <c r="K41" s="119">
        <v>5600</v>
      </c>
      <c r="L41" s="124"/>
      <c r="M41" s="112"/>
    </row>
    <row r="42" spans="1:13" ht="11.25" customHeight="1">
      <c r="A42" s="120" t="s">
        <v>271</v>
      </c>
      <c r="B42" s="118"/>
      <c r="C42" s="119">
        <v>1640</v>
      </c>
      <c r="D42" s="119"/>
      <c r="E42" s="119">
        <v>1740</v>
      </c>
      <c r="F42" s="119"/>
      <c r="G42" s="119">
        <v>1820</v>
      </c>
      <c r="H42" s="119"/>
      <c r="I42" s="119">
        <v>1480</v>
      </c>
      <c r="J42" s="119"/>
      <c r="K42" s="119">
        <v>1500</v>
      </c>
      <c r="L42" s="124"/>
      <c r="M42" s="112"/>
    </row>
    <row r="43" spans="1:13" ht="11.25" customHeight="1">
      <c r="A43" s="120" t="s">
        <v>202</v>
      </c>
      <c r="B43" s="118"/>
      <c r="C43" s="119">
        <f>C44+C45</f>
        <v>5777</v>
      </c>
      <c r="D43" s="119"/>
      <c r="E43" s="119">
        <f t="shared" ref="E43:K43" si="7">E44+E45</f>
        <v>6267</v>
      </c>
      <c r="F43" s="119"/>
      <c r="G43" s="119">
        <f t="shared" si="7"/>
        <v>6942</v>
      </c>
      <c r="H43" s="119"/>
      <c r="I43" s="119">
        <f t="shared" si="7"/>
        <v>7300</v>
      </c>
      <c r="J43" s="119"/>
      <c r="K43" s="119">
        <f t="shared" si="7"/>
        <v>7680</v>
      </c>
      <c r="L43" s="124"/>
      <c r="M43" s="112"/>
    </row>
    <row r="44" spans="1:13" ht="11.25" customHeight="1">
      <c r="A44" s="122" t="s">
        <v>259</v>
      </c>
      <c r="B44" s="118"/>
      <c r="C44" s="119">
        <v>2087</v>
      </c>
      <c r="D44" s="119"/>
      <c r="E44" s="119">
        <v>2147</v>
      </c>
      <c r="F44" s="119"/>
      <c r="G44" s="119">
        <v>2202</v>
      </c>
      <c r="H44" s="119"/>
      <c r="I44" s="119">
        <v>2300</v>
      </c>
      <c r="J44" s="121" t="s">
        <v>8</v>
      </c>
      <c r="K44" s="119">
        <v>2400</v>
      </c>
      <c r="L44" s="124"/>
      <c r="M44" s="112"/>
    </row>
    <row r="45" spans="1:13" ht="11.25" customHeight="1">
      <c r="A45" s="122" t="s">
        <v>260</v>
      </c>
      <c r="B45" s="118"/>
      <c r="C45" s="119">
        <v>3690</v>
      </c>
      <c r="D45" s="119"/>
      <c r="E45" s="119">
        <v>4120</v>
      </c>
      <c r="F45" s="119"/>
      <c r="G45" s="119">
        <v>4740</v>
      </c>
      <c r="H45" s="119"/>
      <c r="I45" s="119">
        <v>5000</v>
      </c>
      <c r="J45" s="121" t="s">
        <v>9</v>
      </c>
      <c r="K45" s="119">
        <v>5280</v>
      </c>
      <c r="L45" s="124"/>
      <c r="M45" s="112"/>
    </row>
    <row r="46" spans="1:13" ht="11.25" customHeight="1">
      <c r="A46" s="120" t="s">
        <v>272</v>
      </c>
      <c r="B46" s="118"/>
      <c r="C46" s="119">
        <v>10704</v>
      </c>
      <c r="D46" s="119"/>
      <c r="E46" s="119">
        <v>10509</v>
      </c>
      <c r="F46" s="119"/>
      <c r="G46" s="119">
        <v>11223</v>
      </c>
      <c r="H46" s="119"/>
      <c r="I46" s="119">
        <v>10650</v>
      </c>
      <c r="J46" s="121" t="s">
        <v>8</v>
      </c>
      <c r="K46" s="119">
        <v>9736</v>
      </c>
      <c r="L46" s="123">
        <v>6</v>
      </c>
      <c r="M46" s="112"/>
    </row>
    <row r="47" spans="1:13" ht="11.25" customHeight="1">
      <c r="A47" s="120" t="s">
        <v>26</v>
      </c>
      <c r="B47" s="118"/>
      <c r="C47" s="119">
        <v>74981.02</v>
      </c>
      <c r="D47" s="119"/>
      <c r="E47" s="119">
        <v>74519.915999999997</v>
      </c>
      <c r="F47" s="119"/>
      <c r="G47" s="119">
        <v>81070.748000000007</v>
      </c>
      <c r="H47" s="119"/>
      <c r="I47" s="119">
        <v>78835.835999999996</v>
      </c>
      <c r="J47" s="121"/>
      <c r="K47" s="119">
        <v>80979.377999999997</v>
      </c>
      <c r="L47" s="123">
        <v>6</v>
      </c>
      <c r="M47" s="112"/>
    </row>
    <row r="48" spans="1:13" ht="11.25" customHeight="1">
      <c r="A48" s="120" t="s">
        <v>28</v>
      </c>
      <c r="B48" s="118"/>
      <c r="C48" s="119">
        <v>2594</v>
      </c>
      <c r="D48" s="119"/>
      <c r="E48" s="119">
        <v>3438</v>
      </c>
      <c r="F48" s="119"/>
      <c r="G48" s="119">
        <v>4000</v>
      </c>
      <c r="H48" s="119"/>
      <c r="I48" s="119">
        <v>3906.5</v>
      </c>
      <c r="J48" s="121" t="s">
        <v>8</v>
      </c>
      <c r="K48" s="119">
        <v>4089.1</v>
      </c>
      <c r="L48" s="123">
        <v>6</v>
      </c>
      <c r="M48" s="112"/>
    </row>
    <row r="49" spans="1:13" ht="11.25" customHeight="1">
      <c r="A49" s="120" t="s">
        <v>30</v>
      </c>
      <c r="B49" s="118"/>
      <c r="C49" s="119">
        <v>800</v>
      </c>
      <c r="D49" s="121" t="s">
        <v>8</v>
      </c>
      <c r="E49" s="119">
        <v>800</v>
      </c>
      <c r="F49" s="121" t="s">
        <v>8</v>
      </c>
      <c r="G49" s="119">
        <v>800</v>
      </c>
      <c r="H49" s="121" t="s">
        <v>8</v>
      </c>
      <c r="I49" s="119">
        <v>800</v>
      </c>
      <c r="J49" s="121" t="s">
        <v>8</v>
      </c>
      <c r="K49" s="119">
        <v>800</v>
      </c>
      <c r="L49" s="119"/>
      <c r="M49" s="112"/>
    </row>
    <row r="50" spans="1:13" ht="11.25" customHeight="1">
      <c r="A50" s="120" t="s">
        <v>31</v>
      </c>
      <c r="B50" s="118"/>
      <c r="C50" s="119">
        <v>23229</v>
      </c>
      <c r="D50" s="119"/>
      <c r="E50" s="119">
        <v>23329</v>
      </c>
      <c r="F50" s="119"/>
      <c r="G50" s="119">
        <v>24937</v>
      </c>
      <c r="H50" s="119"/>
      <c r="I50" s="119">
        <v>25898</v>
      </c>
      <c r="J50" s="119"/>
      <c r="K50" s="119">
        <v>26500</v>
      </c>
      <c r="L50" s="119"/>
      <c r="M50" s="112"/>
    </row>
    <row r="51" spans="1:13" ht="11.25" customHeight="1">
      <c r="A51" s="120" t="s">
        <v>273</v>
      </c>
      <c r="B51" s="118"/>
      <c r="C51" s="119">
        <v>1010</v>
      </c>
      <c r="D51" s="119"/>
      <c r="E51" s="119">
        <v>1330</v>
      </c>
      <c r="F51" s="119"/>
      <c r="G51" s="119">
        <v>1500</v>
      </c>
      <c r="H51" s="121" t="s">
        <v>9</v>
      </c>
      <c r="I51" s="119">
        <v>1090</v>
      </c>
      <c r="J51" s="119"/>
      <c r="K51" s="119">
        <v>1170</v>
      </c>
      <c r="L51" s="119"/>
      <c r="M51" s="112"/>
    </row>
    <row r="52" spans="1:13" ht="11.25" customHeight="1">
      <c r="A52" s="120" t="s">
        <v>274</v>
      </c>
      <c r="B52" s="118"/>
      <c r="C52" s="119">
        <v>1000</v>
      </c>
      <c r="D52" s="119"/>
      <c r="E52" s="119">
        <v>1000</v>
      </c>
      <c r="F52" s="119"/>
      <c r="G52" s="119">
        <v>1260</v>
      </c>
      <c r="H52" s="119"/>
      <c r="I52" s="119">
        <v>1300</v>
      </c>
      <c r="J52" s="119"/>
      <c r="K52" s="119">
        <v>1400</v>
      </c>
      <c r="L52" s="119"/>
      <c r="M52" s="112"/>
    </row>
    <row r="53" spans="1:13" ht="11.25" customHeight="1">
      <c r="A53" s="120" t="s">
        <v>205</v>
      </c>
      <c r="B53" s="118"/>
      <c r="C53" s="119">
        <f>C54+C55</f>
        <v>10115.563</v>
      </c>
      <c r="D53" s="119"/>
      <c r="E53" s="119">
        <f t="shared" ref="E53:K53" si="8">E54+E55</f>
        <v>10878.132</v>
      </c>
      <c r="F53" s="119"/>
      <c r="G53" s="119">
        <f t="shared" si="8"/>
        <v>10445</v>
      </c>
      <c r="H53" s="119"/>
      <c r="I53" s="119">
        <f t="shared" si="8"/>
        <v>9000</v>
      </c>
      <c r="J53" s="119"/>
      <c r="K53" s="119">
        <f t="shared" si="8"/>
        <v>8000</v>
      </c>
      <c r="L53" s="119"/>
      <c r="M53" s="112"/>
    </row>
    <row r="54" spans="1:13" ht="11.25" customHeight="1">
      <c r="A54" s="122" t="s">
        <v>259</v>
      </c>
      <c r="B54" s="118"/>
      <c r="C54" s="119">
        <v>4531.5309999999999</v>
      </c>
      <c r="D54" s="119"/>
      <c r="E54" s="119">
        <v>4807.6419999999998</v>
      </c>
      <c r="F54" s="119"/>
      <c r="G54" s="119">
        <v>4856</v>
      </c>
      <c r="H54" s="119"/>
      <c r="I54" s="119">
        <v>4500</v>
      </c>
      <c r="J54" s="121" t="s">
        <v>9</v>
      </c>
      <c r="K54" s="119">
        <v>4000</v>
      </c>
      <c r="L54" s="119"/>
      <c r="M54" s="112"/>
    </row>
    <row r="55" spans="1:13" ht="11.25" customHeight="1">
      <c r="A55" s="122" t="s">
        <v>260</v>
      </c>
      <c r="B55" s="118"/>
      <c r="C55" s="119">
        <v>5584.0320000000002</v>
      </c>
      <c r="D55" s="119"/>
      <c r="E55" s="119">
        <v>6070.49</v>
      </c>
      <c r="F55" s="119"/>
      <c r="G55" s="119">
        <v>5589</v>
      </c>
      <c r="H55" s="119"/>
      <c r="I55" s="119">
        <v>4500</v>
      </c>
      <c r="J55" s="121" t="s">
        <v>9</v>
      </c>
      <c r="K55" s="119">
        <v>4000</v>
      </c>
      <c r="L55" s="119"/>
      <c r="M55" s="112"/>
    </row>
    <row r="56" spans="1:13" ht="11.25" customHeight="1">
      <c r="A56" s="120" t="s">
        <v>275</v>
      </c>
      <c r="B56" s="118"/>
      <c r="C56" s="119">
        <v>15</v>
      </c>
      <c r="D56" s="119"/>
      <c r="E56" s="119">
        <v>15</v>
      </c>
      <c r="F56" s="119"/>
      <c r="G56" s="119">
        <v>15</v>
      </c>
      <c r="H56" s="119"/>
      <c r="I56" s="119">
        <v>15</v>
      </c>
      <c r="J56" s="119"/>
      <c r="K56" s="119">
        <v>15</v>
      </c>
      <c r="L56" s="119"/>
      <c r="M56" s="112"/>
    </row>
    <row r="57" spans="1:13" ht="11.25" customHeight="1">
      <c r="A57" s="120" t="s">
        <v>276</v>
      </c>
      <c r="B57" s="118"/>
      <c r="C57" s="119">
        <v>5561</v>
      </c>
      <c r="D57" s="119"/>
      <c r="E57" s="119">
        <v>5320</v>
      </c>
      <c r="F57" s="119"/>
      <c r="G57" s="119">
        <v>4969</v>
      </c>
      <c r="H57" s="119"/>
      <c r="I57" s="119">
        <v>5305</v>
      </c>
      <c r="J57" s="121" t="s">
        <v>8</v>
      </c>
      <c r="K57" s="119">
        <v>5381</v>
      </c>
      <c r="L57" s="123">
        <v>6</v>
      </c>
      <c r="M57" s="112"/>
    </row>
    <row r="58" spans="1:13" ht="11.25" customHeight="1">
      <c r="A58" s="120" t="s">
        <v>277</v>
      </c>
      <c r="B58" s="118"/>
      <c r="C58" s="119">
        <v>609</v>
      </c>
      <c r="D58" s="119"/>
      <c r="E58" s="119">
        <v>620</v>
      </c>
      <c r="F58" s="119"/>
      <c r="G58" s="119">
        <v>600</v>
      </c>
      <c r="H58" s="121" t="s">
        <v>9</v>
      </c>
      <c r="I58" s="119">
        <v>600</v>
      </c>
      <c r="J58" s="121" t="s">
        <v>9</v>
      </c>
      <c r="K58" s="119">
        <v>600</v>
      </c>
      <c r="L58" s="124"/>
      <c r="M58" s="112"/>
    </row>
    <row r="59" spans="1:13" ht="11.25" customHeight="1">
      <c r="A59" s="120" t="s">
        <v>278</v>
      </c>
      <c r="B59" s="118"/>
      <c r="C59" s="119">
        <v>70</v>
      </c>
      <c r="D59" s="119"/>
      <c r="E59" s="119">
        <v>60</v>
      </c>
      <c r="F59" s="119"/>
      <c r="G59" s="119">
        <v>60</v>
      </c>
      <c r="H59" s="119"/>
      <c r="I59" s="119">
        <v>60</v>
      </c>
      <c r="J59" s="119"/>
      <c r="K59" s="119">
        <v>60</v>
      </c>
      <c r="L59" s="124"/>
      <c r="M59" s="112"/>
    </row>
    <row r="60" spans="1:13" ht="11.25" customHeight="1">
      <c r="A60" s="120" t="s">
        <v>279</v>
      </c>
      <c r="B60" s="118"/>
      <c r="C60" s="119">
        <v>1500</v>
      </c>
      <c r="D60" s="119"/>
      <c r="E60" s="119">
        <v>1500</v>
      </c>
      <c r="F60" s="119"/>
      <c r="G60" s="119">
        <v>1500</v>
      </c>
      <c r="H60" s="119"/>
      <c r="I60" s="119">
        <v>1500</v>
      </c>
      <c r="J60" s="119"/>
      <c r="K60" s="119">
        <v>1500</v>
      </c>
      <c r="L60" s="124"/>
      <c r="M60" s="112"/>
    </row>
    <row r="61" spans="1:13" ht="11.25" customHeight="1">
      <c r="A61" s="120" t="s">
        <v>280</v>
      </c>
      <c r="B61" s="118"/>
      <c r="C61" s="119">
        <v>65.545000000000002</v>
      </c>
      <c r="D61" s="119"/>
      <c r="E61" s="119">
        <v>61.280999999999999</v>
      </c>
      <c r="F61" s="119"/>
      <c r="G61" s="119">
        <v>82.018000000000001</v>
      </c>
      <c r="H61" s="121"/>
      <c r="I61" s="119">
        <v>70.7</v>
      </c>
      <c r="J61" s="121" t="s">
        <v>8</v>
      </c>
      <c r="K61" s="119">
        <v>80.099999999999994</v>
      </c>
      <c r="L61" s="123">
        <v>6</v>
      </c>
      <c r="M61" s="112"/>
    </row>
    <row r="62" spans="1:13" ht="11.25" customHeight="1">
      <c r="A62" s="120" t="s">
        <v>207</v>
      </c>
      <c r="B62" s="118"/>
      <c r="C62" s="119">
        <f>C63+C64</f>
        <v>393</v>
      </c>
      <c r="D62" s="119"/>
      <c r="E62" s="119">
        <f t="shared" ref="E62:K62" si="9">E63+E64</f>
        <v>300</v>
      </c>
      <c r="F62" s="119"/>
      <c r="G62" s="119">
        <f t="shared" si="9"/>
        <v>407</v>
      </c>
      <c r="H62" s="119"/>
      <c r="I62" s="119">
        <f t="shared" si="9"/>
        <v>410</v>
      </c>
      <c r="J62" s="119"/>
      <c r="K62" s="119">
        <f t="shared" si="9"/>
        <v>410</v>
      </c>
      <c r="L62" s="119"/>
      <c r="M62" s="112"/>
    </row>
    <row r="63" spans="1:13" ht="11.25" customHeight="1">
      <c r="A63" s="122" t="s">
        <v>259</v>
      </c>
      <c r="B63" s="118"/>
      <c r="C63" s="119">
        <v>283</v>
      </c>
      <c r="D63" s="121" t="s">
        <v>8</v>
      </c>
      <c r="E63" s="119">
        <v>250</v>
      </c>
      <c r="F63" s="121" t="s">
        <v>8</v>
      </c>
      <c r="G63" s="119">
        <v>327</v>
      </c>
      <c r="H63" s="121" t="s">
        <v>8</v>
      </c>
      <c r="I63" s="119">
        <v>330</v>
      </c>
      <c r="J63" s="121" t="s">
        <v>8</v>
      </c>
      <c r="K63" s="119">
        <v>330</v>
      </c>
      <c r="L63" s="121" t="s">
        <v>17</v>
      </c>
      <c r="M63" s="112"/>
    </row>
    <row r="64" spans="1:13" ht="11.25" customHeight="1">
      <c r="A64" s="122" t="s">
        <v>260</v>
      </c>
      <c r="B64" s="118"/>
      <c r="C64" s="119">
        <v>110</v>
      </c>
      <c r="D64" s="119"/>
      <c r="E64" s="119">
        <v>50</v>
      </c>
      <c r="F64" s="119"/>
      <c r="G64" s="119">
        <v>80</v>
      </c>
      <c r="H64" s="119"/>
      <c r="I64" s="119">
        <v>80</v>
      </c>
      <c r="J64" s="121" t="s">
        <v>9</v>
      </c>
      <c r="K64" s="119">
        <v>80</v>
      </c>
      <c r="L64" s="119"/>
      <c r="M64" s="112"/>
    </row>
    <row r="65" spans="1:13" ht="11.25" customHeight="1">
      <c r="A65" s="120" t="s">
        <v>281</v>
      </c>
      <c r="B65" s="118"/>
      <c r="C65" s="119">
        <v>6128.4840000000004</v>
      </c>
      <c r="D65" s="119"/>
      <c r="E65" s="119">
        <v>6128.4840000000004</v>
      </c>
      <c r="F65" s="119"/>
      <c r="G65" s="119">
        <v>6491.8670000000002</v>
      </c>
      <c r="H65" s="119"/>
      <c r="I65" s="119">
        <v>5440</v>
      </c>
      <c r="J65" s="121" t="s">
        <v>8</v>
      </c>
      <c r="K65" s="119">
        <v>5500</v>
      </c>
      <c r="L65" s="119"/>
      <c r="M65" s="112"/>
    </row>
    <row r="66" spans="1:13" ht="11.25" customHeight="1">
      <c r="A66" s="120" t="s">
        <v>282</v>
      </c>
      <c r="B66" s="126" t="s">
        <v>43</v>
      </c>
      <c r="C66" s="119">
        <v>365</v>
      </c>
      <c r="D66" s="119"/>
      <c r="E66" s="119">
        <v>389</v>
      </c>
      <c r="F66" s="119"/>
      <c r="G66" s="119">
        <v>382</v>
      </c>
      <c r="H66" s="119"/>
      <c r="I66" s="119">
        <v>82</v>
      </c>
      <c r="J66" s="121" t="s">
        <v>8</v>
      </c>
      <c r="K66" s="125" t="s">
        <v>12</v>
      </c>
      <c r="L66" s="119"/>
      <c r="M66" s="112"/>
    </row>
    <row r="67" spans="1:13" ht="11.25" customHeight="1">
      <c r="A67" s="120" t="s">
        <v>283</v>
      </c>
      <c r="B67" s="127"/>
      <c r="C67" s="128">
        <v>706</v>
      </c>
      <c r="D67" s="128"/>
      <c r="E67" s="128">
        <v>670</v>
      </c>
      <c r="F67" s="128"/>
      <c r="G67" s="128">
        <v>620</v>
      </c>
      <c r="H67" s="128"/>
      <c r="I67" s="128">
        <v>730</v>
      </c>
      <c r="J67" s="128"/>
      <c r="K67" s="128">
        <v>750</v>
      </c>
      <c r="L67" s="128"/>
      <c r="M67" s="112"/>
    </row>
    <row r="68" spans="1:13" ht="11.25" customHeight="1">
      <c r="A68" s="398" t="s">
        <v>203</v>
      </c>
      <c r="B68" s="395"/>
      <c r="C68" s="395"/>
      <c r="D68" s="395"/>
      <c r="E68" s="395"/>
      <c r="F68" s="395"/>
      <c r="G68" s="395"/>
      <c r="H68" s="395"/>
      <c r="I68" s="395"/>
      <c r="J68" s="395"/>
      <c r="K68" s="395"/>
      <c r="L68" s="395"/>
      <c r="M68" s="112"/>
    </row>
    <row r="69" spans="1:13" ht="11.25" customHeight="1">
      <c r="A69" s="118"/>
      <c r="B69" s="126"/>
      <c r="C69" s="126"/>
      <c r="D69" s="126"/>
      <c r="E69" s="126"/>
      <c r="F69" s="126"/>
      <c r="G69" s="126"/>
      <c r="H69" s="126"/>
      <c r="I69" s="129"/>
      <c r="J69" s="129"/>
      <c r="K69" s="129"/>
      <c r="L69" s="129"/>
      <c r="M69" s="112"/>
    </row>
    <row r="70" spans="1:13" ht="11.25" customHeight="1">
      <c r="A70" s="396" t="s">
        <v>284</v>
      </c>
      <c r="B70" s="397"/>
      <c r="C70" s="397"/>
      <c r="D70" s="397"/>
      <c r="E70" s="397"/>
      <c r="F70" s="397"/>
      <c r="G70" s="397"/>
      <c r="H70" s="397"/>
      <c r="I70" s="397"/>
      <c r="J70" s="397"/>
      <c r="K70" s="397"/>
      <c r="L70" s="397"/>
      <c r="M70" s="112"/>
    </row>
    <row r="71" spans="1:13" ht="11.25" customHeight="1">
      <c r="A71" s="396" t="s">
        <v>255</v>
      </c>
      <c r="B71" s="397"/>
      <c r="C71" s="397"/>
      <c r="D71" s="397"/>
      <c r="E71" s="397"/>
      <c r="F71" s="397"/>
      <c r="G71" s="397"/>
      <c r="H71" s="397"/>
      <c r="I71" s="397"/>
      <c r="J71" s="397"/>
      <c r="K71" s="397"/>
      <c r="L71" s="397"/>
      <c r="M71" s="112"/>
    </row>
    <row r="72" spans="1:13" ht="11.25" customHeight="1">
      <c r="A72" s="396"/>
      <c r="B72" s="397"/>
      <c r="C72" s="397"/>
      <c r="D72" s="397"/>
      <c r="E72" s="397"/>
      <c r="F72" s="397"/>
      <c r="G72" s="397"/>
      <c r="H72" s="397"/>
      <c r="I72" s="397"/>
      <c r="J72" s="397"/>
      <c r="K72" s="397"/>
      <c r="L72" s="397"/>
      <c r="M72" s="112"/>
    </row>
    <row r="73" spans="1:13" ht="11.25" customHeight="1">
      <c r="A73" s="396" t="s">
        <v>0</v>
      </c>
      <c r="B73" s="397"/>
      <c r="C73" s="397"/>
      <c r="D73" s="397"/>
      <c r="E73" s="397"/>
      <c r="F73" s="397"/>
      <c r="G73" s="397"/>
      <c r="H73" s="397"/>
      <c r="I73" s="397"/>
      <c r="J73" s="397"/>
      <c r="K73" s="397"/>
      <c r="L73" s="397"/>
      <c r="M73" s="112"/>
    </row>
    <row r="74" spans="1:13" ht="11.25" customHeight="1">
      <c r="A74" s="396"/>
      <c r="B74" s="397"/>
      <c r="C74" s="397"/>
      <c r="D74" s="397"/>
      <c r="E74" s="397"/>
      <c r="F74" s="397"/>
      <c r="G74" s="397"/>
      <c r="H74" s="397"/>
      <c r="I74" s="397"/>
      <c r="J74" s="397"/>
      <c r="K74" s="397"/>
      <c r="L74" s="397"/>
      <c r="M74" s="112"/>
    </row>
    <row r="75" spans="1:13" ht="11.25" customHeight="1">
      <c r="A75" s="114" t="s">
        <v>94</v>
      </c>
      <c r="B75" s="115"/>
      <c r="C75" s="116">
        <v>1998</v>
      </c>
      <c r="D75" s="117"/>
      <c r="E75" s="116" t="s">
        <v>3</v>
      </c>
      <c r="F75" s="117"/>
      <c r="G75" s="116" t="s">
        <v>4</v>
      </c>
      <c r="H75" s="117"/>
      <c r="I75" s="116" t="s">
        <v>5</v>
      </c>
      <c r="J75" s="117"/>
      <c r="K75" s="116" t="s">
        <v>6</v>
      </c>
      <c r="L75" s="117"/>
      <c r="M75" s="112"/>
    </row>
    <row r="76" spans="1:13" ht="11.25" customHeight="1">
      <c r="A76" s="127" t="s">
        <v>85</v>
      </c>
      <c r="B76" s="130"/>
      <c r="C76" s="119">
        <v>4541.1509999999998</v>
      </c>
      <c r="D76" s="119" t="s">
        <v>43</v>
      </c>
      <c r="E76" s="119">
        <v>2969.4670000000001</v>
      </c>
      <c r="F76" s="119"/>
      <c r="G76" s="119">
        <v>3068.6779999999999</v>
      </c>
      <c r="H76" s="119"/>
      <c r="I76" s="119">
        <v>3085</v>
      </c>
      <c r="J76" s="121" t="s">
        <v>8</v>
      </c>
      <c r="K76" s="119">
        <v>3100</v>
      </c>
      <c r="L76" s="119"/>
      <c r="M76" s="112"/>
    </row>
    <row r="77" spans="1:13" ht="11.25" customHeight="1">
      <c r="A77" s="120" t="s">
        <v>208</v>
      </c>
      <c r="B77" s="118"/>
      <c r="C77" s="119">
        <f>C78+C79</f>
        <v>36377</v>
      </c>
      <c r="D77" s="119"/>
      <c r="E77" s="119">
        <f t="shared" ref="E77:K77" si="10">E78+E79</f>
        <v>42734.2</v>
      </c>
      <c r="F77" s="119"/>
      <c r="G77" s="119">
        <f t="shared" si="10"/>
        <v>46618.1</v>
      </c>
      <c r="H77" s="119"/>
      <c r="I77" s="119">
        <f t="shared" si="10"/>
        <v>46880</v>
      </c>
      <c r="J77" s="119"/>
      <c r="K77" s="119">
        <f t="shared" si="10"/>
        <v>48060</v>
      </c>
      <c r="L77" s="119"/>
      <c r="M77" s="112"/>
    </row>
    <row r="78" spans="1:13" ht="11.25" customHeight="1">
      <c r="A78" s="122" t="s">
        <v>259</v>
      </c>
      <c r="B78" s="118"/>
      <c r="C78" s="119">
        <v>34827</v>
      </c>
      <c r="D78" s="119" t="s">
        <v>43</v>
      </c>
      <c r="E78" s="119">
        <v>40854.199999999997</v>
      </c>
      <c r="F78" s="119"/>
      <c r="G78" s="119">
        <v>44618.1</v>
      </c>
      <c r="H78" s="119"/>
      <c r="I78" s="119">
        <v>44980</v>
      </c>
      <c r="J78" s="119"/>
      <c r="K78" s="119">
        <v>46060</v>
      </c>
      <c r="L78" s="123">
        <v>6</v>
      </c>
      <c r="M78" s="112"/>
    </row>
    <row r="79" spans="1:13" ht="11.25" customHeight="1">
      <c r="A79" s="122" t="s">
        <v>260</v>
      </c>
      <c r="B79" s="118"/>
      <c r="C79" s="119">
        <v>1550</v>
      </c>
      <c r="D79" s="119"/>
      <c r="E79" s="119">
        <v>1880</v>
      </c>
      <c r="F79" s="119"/>
      <c r="G79" s="119">
        <v>2000</v>
      </c>
      <c r="H79" s="119"/>
      <c r="I79" s="119">
        <v>1900</v>
      </c>
      <c r="J79" s="119"/>
      <c r="K79" s="119">
        <v>2000</v>
      </c>
      <c r="L79" s="124"/>
      <c r="M79" s="112"/>
    </row>
    <row r="80" spans="1:13" ht="11.25" customHeight="1">
      <c r="A80" s="120" t="s">
        <v>285</v>
      </c>
      <c r="B80" s="118"/>
      <c r="C80" s="119">
        <v>2268</v>
      </c>
      <c r="D80" s="119"/>
      <c r="E80" s="119">
        <v>2343</v>
      </c>
      <c r="F80" s="119"/>
      <c r="G80" s="119">
        <v>3090</v>
      </c>
      <c r="H80" s="119"/>
      <c r="I80" s="119">
        <v>2880</v>
      </c>
      <c r="J80" s="119"/>
      <c r="K80" s="119">
        <v>3290</v>
      </c>
      <c r="L80" s="124"/>
      <c r="M80" s="112"/>
    </row>
    <row r="81" spans="1:13" ht="11.25" customHeight="1">
      <c r="A81" s="120" t="s">
        <v>286</v>
      </c>
      <c r="B81" s="118"/>
      <c r="C81" s="119">
        <v>825.91600000000005</v>
      </c>
      <c r="D81" s="119"/>
      <c r="E81" s="119">
        <v>134.88</v>
      </c>
      <c r="F81" s="119"/>
      <c r="G81" s="119">
        <v>563</v>
      </c>
      <c r="H81" s="119"/>
      <c r="I81" s="119">
        <v>461</v>
      </c>
      <c r="J81" s="119"/>
      <c r="K81" s="119">
        <v>485</v>
      </c>
      <c r="L81" s="124"/>
      <c r="M81" s="112"/>
    </row>
    <row r="82" spans="1:13" ht="11.25" customHeight="1">
      <c r="A82" s="120" t="s">
        <v>287</v>
      </c>
      <c r="B82" s="118"/>
      <c r="C82" s="119">
        <v>2756</v>
      </c>
      <c r="D82" s="119" t="s">
        <v>43</v>
      </c>
      <c r="E82" s="119">
        <v>2987</v>
      </c>
      <c r="F82" s="119"/>
      <c r="G82" s="119">
        <v>3166.6</v>
      </c>
      <c r="H82" s="121" t="s">
        <v>8</v>
      </c>
      <c r="I82" s="119">
        <v>3255</v>
      </c>
      <c r="J82" s="121" t="s">
        <v>8</v>
      </c>
      <c r="K82" s="119">
        <v>3100</v>
      </c>
      <c r="L82" s="124"/>
      <c r="M82" s="112"/>
    </row>
    <row r="83" spans="1:13" ht="11.25" customHeight="1">
      <c r="A83" s="120" t="s">
        <v>209</v>
      </c>
      <c r="B83" s="118"/>
      <c r="C83" s="119">
        <f>C84+C85</f>
        <v>6720</v>
      </c>
      <c r="D83" s="119"/>
      <c r="E83" s="119">
        <f t="shared" ref="E83:K83" si="11">E84+E85</f>
        <v>5847</v>
      </c>
      <c r="F83" s="119"/>
      <c r="G83" s="119">
        <f t="shared" si="11"/>
        <v>7830</v>
      </c>
      <c r="H83" s="119"/>
      <c r="I83" s="119">
        <f t="shared" si="11"/>
        <v>7360</v>
      </c>
      <c r="J83" s="119"/>
      <c r="K83" s="119">
        <f t="shared" si="11"/>
        <v>7500</v>
      </c>
      <c r="L83" s="124"/>
      <c r="M83" s="112"/>
    </row>
    <row r="84" spans="1:13" ht="11.25" customHeight="1">
      <c r="A84" s="122" t="s">
        <v>259</v>
      </c>
      <c r="B84" s="118"/>
      <c r="C84" s="119">
        <v>5650</v>
      </c>
      <c r="D84" s="119" t="s">
        <v>43</v>
      </c>
      <c r="E84" s="119">
        <v>4587</v>
      </c>
      <c r="F84" s="119"/>
      <c r="G84" s="119">
        <v>6300</v>
      </c>
      <c r="H84" s="121"/>
      <c r="I84" s="119">
        <v>5800</v>
      </c>
      <c r="J84" s="119"/>
      <c r="K84" s="119">
        <v>5800</v>
      </c>
      <c r="L84" s="124"/>
      <c r="M84" s="112"/>
    </row>
    <row r="85" spans="1:13" ht="11.25" customHeight="1">
      <c r="A85" s="122" t="s">
        <v>260</v>
      </c>
      <c r="B85" s="118"/>
      <c r="C85" s="119">
        <v>1070</v>
      </c>
      <c r="D85" s="119" t="s">
        <v>43</v>
      </c>
      <c r="E85" s="119">
        <v>1260</v>
      </c>
      <c r="F85" s="119"/>
      <c r="G85" s="119">
        <v>1530</v>
      </c>
      <c r="H85" s="119"/>
      <c r="I85" s="119">
        <v>1560</v>
      </c>
      <c r="J85" s="119"/>
      <c r="K85" s="119">
        <v>1700</v>
      </c>
      <c r="L85" s="124"/>
      <c r="M85" s="112"/>
    </row>
    <row r="86" spans="1:13" ht="11.25" customHeight="1">
      <c r="A86" s="120" t="s">
        <v>288</v>
      </c>
      <c r="B86" s="118"/>
      <c r="C86" s="119">
        <v>4278</v>
      </c>
      <c r="D86" s="119"/>
      <c r="E86" s="119">
        <v>4146</v>
      </c>
      <c r="F86" s="119"/>
      <c r="G86" s="119">
        <v>4059</v>
      </c>
      <c r="H86" s="119"/>
      <c r="I86" s="119">
        <v>4094</v>
      </c>
      <c r="J86" s="123" t="s">
        <v>8</v>
      </c>
      <c r="K86" s="119">
        <v>3978</v>
      </c>
      <c r="L86" s="123">
        <v>6</v>
      </c>
      <c r="M86" s="112"/>
    </row>
    <row r="87" spans="1:13" ht="11.25" customHeight="1">
      <c r="A87" s="120" t="s">
        <v>39</v>
      </c>
      <c r="B87" s="118"/>
      <c r="C87" s="119">
        <v>3373</v>
      </c>
      <c r="D87" s="119"/>
      <c r="E87" s="119">
        <v>3212</v>
      </c>
      <c r="F87" s="119"/>
      <c r="G87" s="119">
        <v>3146</v>
      </c>
      <c r="H87" s="119"/>
      <c r="I87" s="119">
        <v>3614</v>
      </c>
      <c r="J87" s="121" t="s">
        <v>8</v>
      </c>
      <c r="K87" s="119">
        <v>3700</v>
      </c>
      <c r="L87" s="124"/>
      <c r="M87" s="112"/>
    </row>
    <row r="88" spans="1:13" ht="11.25" customHeight="1">
      <c r="A88" s="120" t="s">
        <v>289</v>
      </c>
      <c r="B88" s="118"/>
      <c r="C88" s="119">
        <v>100</v>
      </c>
      <c r="D88" s="119"/>
      <c r="E88" s="119">
        <v>100</v>
      </c>
      <c r="F88" s="119"/>
      <c r="G88" s="119">
        <v>100</v>
      </c>
      <c r="H88" s="119"/>
      <c r="I88" s="119">
        <v>100</v>
      </c>
      <c r="J88" s="119"/>
      <c r="K88" s="119">
        <v>100</v>
      </c>
      <c r="L88" s="124"/>
      <c r="M88" s="112"/>
    </row>
    <row r="89" spans="1:13" ht="11.25" customHeight="1">
      <c r="A89" s="120" t="s">
        <v>290</v>
      </c>
      <c r="B89" s="118"/>
      <c r="C89" s="119">
        <v>9374</v>
      </c>
      <c r="D89" s="119"/>
      <c r="E89" s="119">
        <v>9020</v>
      </c>
      <c r="F89" s="119"/>
      <c r="G89" s="119">
        <v>9971</v>
      </c>
      <c r="H89" s="121" t="s">
        <v>8</v>
      </c>
      <c r="I89" s="119">
        <v>10316</v>
      </c>
      <c r="J89" s="121" t="s">
        <v>8</v>
      </c>
      <c r="K89" s="119">
        <v>10524</v>
      </c>
      <c r="L89" s="123">
        <v>6</v>
      </c>
      <c r="M89" s="112"/>
    </row>
    <row r="90" spans="1:13" ht="11.25" customHeight="1">
      <c r="A90" s="120" t="s">
        <v>291</v>
      </c>
      <c r="B90" s="118"/>
      <c r="C90" s="119">
        <v>1073.3330000000001</v>
      </c>
      <c r="D90" s="119"/>
      <c r="E90" s="119">
        <v>1379</v>
      </c>
      <c r="F90" s="119"/>
      <c r="G90" s="119">
        <v>1530</v>
      </c>
      <c r="H90" s="121" t="s">
        <v>8</v>
      </c>
      <c r="I90" s="119">
        <v>2186.3820000000001</v>
      </c>
      <c r="J90" s="121" t="s">
        <v>8</v>
      </c>
      <c r="K90" s="119">
        <v>2186.4</v>
      </c>
      <c r="L90" s="123">
        <v>6</v>
      </c>
      <c r="M90" s="112"/>
    </row>
    <row r="91" spans="1:13" ht="11.25" customHeight="1">
      <c r="A91" s="120" t="s">
        <v>292</v>
      </c>
      <c r="B91" s="118"/>
      <c r="C91" s="119">
        <v>123</v>
      </c>
      <c r="D91" s="119"/>
      <c r="E91" s="119">
        <v>178</v>
      </c>
      <c r="F91" s="119"/>
      <c r="G91" s="119">
        <v>196</v>
      </c>
      <c r="H91" s="119"/>
      <c r="I91" s="119">
        <v>192</v>
      </c>
      <c r="J91" s="121" t="s">
        <v>8</v>
      </c>
      <c r="K91" s="119">
        <v>152</v>
      </c>
      <c r="L91" s="124"/>
      <c r="M91" s="112"/>
    </row>
    <row r="92" spans="1:13" ht="11.25" customHeight="1">
      <c r="A92" s="120" t="s">
        <v>293</v>
      </c>
      <c r="B92" s="118"/>
      <c r="C92" s="119">
        <v>456.46499999999997</v>
      </c>
      <c r="D92" s="119"/>
      <c r="E92" s="119">
        <v>314.67</v>
      </c>
      <c r="F92" s="119"/>
      <c r="G92" s="119">
        <v>300</v>
      </c>
      <c r="H92" s="119"/>
      <c r="I92" s="119">
        <v>300</v>
      </c>
      <c r="J92" s="121" t="s">
        <v>9</v>
      </c>
      <c r="K92" s="119">
        <v>350</v>
      </c>
      <c r="L92" s="124"/>
      <c r="M92" s="112"/>
    </row>
    <row r="93" spans="1:13" ht="11.25" customHeight="1">
      <c r="A93" s="120" t="s">
        <v>49</v>
      </c>
      <c r="B93" s="118"/>
      <c r="C93" s="119">
        <v>20840</v>
      </c>
      <c r="D93" s="119"/>
      <c r="E93" s="119">
        <v>21937</v>
      </c>
      <c r="F93" s="119"/>
      <c r="G93" s="119">
        <v>25700</v>
      </c>
      <c r="H93" s="119"/>
      <c r="I93" s="119">
        <v>26400</v>
      </c>
      <c r="J93" s="119"/>
      <c r="K93" s="119">
        <v>27560</v>
      </c>
      <c r="L93" s="123">
        <v>6</v>
      </c>
      <c r="M93" s="112"/>
    </row>
    <row r="94" spans="1:13" ht="11.25" customHeight="1">
      <c r="A94" s="120" t="s">
        <v>50</v>
      </c>
      <c r="B94" s="118"/>
      <c r="C94" s="119">
        <v>12574</v>
      </c>
      <c r="D94" s="119" t="s">
        <v>43</v>
      </c>
      <c r="E94" s="119">
        <v>12399</v>
      </c>
      <c r="F94" s="119"/>
      <c r="G94" s="119">
        <v>10891</v>
      </c>
      <c r="H94" s="119"/>
      <c r="I94" s="119">
        <v>9861</v>
      </c>
      <c r="J94" s="121" t="s">
        <v>8</v>
      </c>
      <c r="K94" s="119">
        <v>8579</v>
      </c>
      <c r="L94" s="123">
        <v>6</v>
      </c>
      <c r="M94" s="112"/>
    </row>
    <row r="95" spans="1:13" ht="11.25" customHeight="1">
      <c r="A95" s="120" t="s">
        <v>210</v>
      </c>
      <c r="B95" s="118"/>
      <c r="C95" s="119">
        <f>C96+C97</f>
        <v>49800</v>
      </c>
      <c r="D95" s="119"/>
      <c r="E95" s="119">
        <f t="shared" ref="E95:K95" si="12">E96+E97</f>
        <v>48000</v>
      </c>
      <c r="F95" s="119"/>
      <c r="G95" s="119">
        <f t="shared" si="12"/>
        <v>49500</v>
      </c>
      <c r="H95" s="119"/>
      <c r="I95" s="119">
        <f t="shared" si="12"/>
        <v>42220</v>
      </c>
      <c r="J95" s="119"/>
      <c r="K95" s="119">
        <f t="shared" si="12"/>
        <v>40670</v>
      </c>
      <c r="L95" s="124"/>
      <c r="M95" s="112"/>
    </row>
    <row r="96" spans="1:13" ht="11.25" customHeight="1">
      <c r="A96" s="122" t="s">
        <v>259</v>
      </c>
      <c r="B96" s="118"/>
      <c r="C96" s="119">
        <v>48200</v>
      </c>
      <c r="D96" s="119" t="s">
        <v>43</v>
      </c>
      <c r="E96" s="119">
        <v>46300</v>
      </c>
      <c r="F96" s="119"/>
      <c r="G96" s="119">
        <v>47900</v>
      </c>
      <c r="H96" s="119"/>
      <c r="I96" s="119">
        <v>42100</v>
      </c>
      <c r="J96" s="119"/>
      <c r="K96" s="119">
        <v>40200</v>
      </c>
      <c r="L96" s="123">
        <v>6</v>
      </c>
      <c r="M96" s="112"/>
    </row>
    <row r="97" spans="1:13" ht="11.25" customHeight="1">
      <c r="A97" s="122" t="s">
        <v>260</v>
      </c>
      <c r="B97" s="118"/>
      <c r="C97" s="119">
        <v>1600</v>
      </c>
      <c r="D97" s="119"/>
      <c r="E97" s="119">
        <v>1700</v>
      </c>
      <c r="F97" s="121" t="s">
        <v>8</v>
      </c>
      <c r="G97" s="119">
        <v>1600</v>
      </c>
      <c r="H97" s="119"/>
      <c r="I97" s="119">
        <v>120</v>
      </c>
      <c r="J97" s="121" t="s">
        <v>8</v>
      </c>
      <c r="K97" s="119">
        <v>470</v>
      </c>
      <c r="L97" s="124"/>
      <c r="M97" s="112"/>
    </row>
    <row r="98" spans="1:13" ht="11.25" customHeight="1">
      <c r="A98" s="120" t="s">
        <v>294</v>
      </c>
      <c r="B98" s="118"/>
      <c r="C98" s="119">
        <v>5423.8810000000003</v>
      </c>
      <c r="D98" s="119"/>
      <c r="E98" s="119">
        <v>5071.05</v>
      </c>
      <c r="F98" s="119"/>
      <c r="G98" s="119">
        <v>6401</v>
      </c>
      <c r="H98" s="119"/>
      <c r="I98" s="119">
        <v>5473</v>
      </c>
      <c r="J98" s="119"/>
      <c r="K98" s="119">
        <v>3608.3</v>
      </c>
      <c r="L98" s="123">
        <v>6</v>
      </c>
      <c r="M98" s="112"/>
    </row>
    <row r="99" spans="1:13" ht="11.25" customHeight="1">
      <c r="A99" s="120" t="s">
        <v>295</v>
      </c>
      <c r="B99" s="118"/>
      <c r="C99" s="131">
        <v>217</v>
      </c>
      <c r="D99" s="131"/>
      <c r="E99" s="131">
        <v>228</v>
      </c>
      <c r="F99" s="131"/>
      <c r="G99" s="131">
        <v>240</v>
      </c>
      <c r="H99" s="131"/>
      <c r="I99" s="131">
        <v>240</v>
      </c>
      <c r="J99" s="131"/>
      <c r="K99" s="131">
        <v>150</v>
      </c>
      <c r="L99" s="131"/>
      <c r="M99" s="112"/>
    </row>
    <row r="100" spans="1:13" ht="11.25" customHeight="1">
      <c r="A100" s="122" t="s">
        <v>296</v>
      </c>
      <c r="B100" s="118"/>
      <c r="C100" s="119">
        <v>572000</v>
      </c>
      <c r="D100" s="121"/>
      <c r="E100" s="119">
        <v>578000</v>
      </c>
      <c r="F100" s="121"/>
      <c r="G100" s="119">
        <v>616000</v>
      </c>
      <c r="H100" s="121" t="s">
        <v>8</v>
      </c>
      <c r="I100" s="119">
        <v>616000</v>
      </c>
      <c r="J100" s="121" t="s">
        <v>8</v>
      </c>
      <c r="K100" s="119">
        <v>642000</v>
      </c>
      <c r="L100" s="132"/>
      <c r="M100" s="112"/>
    </row>
    <row r="101" spans="1:13" ht="11.25" customHeight="1">
      <c r="A101" s="133" t="s">
        <v>297</v>
      </c>
      <c r="B101" s="118"/>
      <c r="C101" s="119"/>
      <c r="D101" s="121"/>
      <c r="E101" s="119"/>
      <c r="F101" s="121"/>
      <c r="G101" s="119"/>
      <c r="H101" s="121"/>
      <c r="I101" s="119"/>
      <c r="J101" s="121"/>
      <c r="K101" s="119"/>
      <c r="L101" s="119"/>
      <c r="M101" s="112"/>
    </row>
    <row r="102" spans="1:13" ht="11.25" customHeight="1">
      <c r="A102" s="134" t="s">
        <v>298</v>
      </c>
      <c r="B102" s="118"/>
      <c r="C102" s="119">
        <v>535000</v>
      </c>
      <c r="D102" s="121"/>
      <c r="E102" s="119">
        <v>539000</v>
      </c>
      <c r="F102" s="121" t="s">
        <v>8</v>
      </c>
      <c r="G102" s="119">
        <v>573000</v>
      </c>
      <c r="H102" s="121" t="s">
        <v>8</v>
      </c>
      <c r="I102" s="119">
        <v>577000</v>
      </c>
      <c r="J102" s="121" t="s">
        <v>8</v>
      </c>
      <c r="K102" s="119">
        <v>604000</v>
      </c>
      <c r="L102" s="119"/>
      <c r="M102" s="112"/>
    </row>
    <row r="103" spans="1:13" ht="11.25" customHeight="1">
      <c r="A103" s="135" t="s">
        <v>260</v>
      </c>
      <c r="B103" s="127"/>
      <c r="C103" s="128">
        <v>37200</v>
      </c>
      <c r="D103" s="136"/>
      <c r="E103" s="128">
        <v>38200</v>
      </c>
      <c r="F103" s="136"/>
      <c r="G103" s="128">
        <v>42500</v>
      </c>
      <c r="H103" s="136" t="s">
        <v>8</v>
      </c>
      <c r="I103" s="128">
        <v>39300</v>
      </c>
      <c r="J103" s="136" t="s">
        <v>8</v>
      </c>
      <c r="K103" s="128">
        <v>38800</v>
      </c>
      <c r="L103" s="128"/>
      <c r="M103" s="112"/>
    </row>
    <row r="104" spans="1:13" ht="11.25" customHeight="1">
      <c r="A104" s="394" t="s">
        <v>299</v>
      </c>
      <c r="B104" s="395"/>
      <c r="C104" s="395"/>
      <c r="D104" s="395"/>
      <c r="E104" s="395"/>
      <c r="F104" s="395"/>
      <c r="G104" s="395"/>
      <c r="H104" s="395"/>
      <c r="I104" s="395"/>
      <c r="J104" s="395"/>
      <c r="K104" s="395"/>
      <c r="L104" s="395"/>
      <c r="M104" s="112"/>
    </row>
    <row r="105" spans="1:13" ht="11.25" customHeight="1">
      <c r="A105" s="361" t="s">
        <v>300</v>
      </c>
      <c r="B105" s="399"/>
      <c r="C105" s="399"/>
      <c r="D105" s="399"/>
      <c r="E105" s="399"/>
      <c r="F105" s="399"/>
      <c r="G105" s="399"/>
      <c r="H105" s="399"/>
      <c r="I105" s="399"/>
      <c r="J105" s="399"/>
      <c r="K105" s="399"/>
      <c r="L105" s="399"/>
      <c r="M105" s="112"/>
    </row>
    <row r="106" spans="1:13" ht="11.25" customHeight="1">
      <c r="A106" s="361" t="s">
        <v>301</v>
      </c>
      <c r="B106" s="399"/>
      <c r="C106" s="399"/>
      <c r="D106" s="399"/>
      <c r="E106" s="399"/>
      <c r="F106" s="399"/>
      <c r="G106" s="399"/>
      <c r="H106" s="399"/>
      <c r="I106" s="399"/>
      <c r="J106" s="399"/>
      <c r="K106" s="399"/>
      <c r="L106" s="399"/>
      <c r="M106" s="112"/>
    </row>
    <row r="107" spans="1:13" ht="11.25" customHeight="1">
      <c r="A107" s="361" t="s">
        <v>302</v>
      </c>
      <c r="B107" s="399"/>
      <c r="C107" s="399"/>
      <c r="D107" s="399"/>
      <c r="E107" s="399"/>
      <c r="F107" s="399"/>
      <c r="G107" s="399"/>
      <c r="H107" s="399"/>
      <c r="I107" s="399"/>
      <c r="J107" s="399"/>
      <c r="K107" s="399"/>
      <c r="L107" s="399"/>
      <c r="M107" s="112"/>
    </row>
    <row r="108" spans="1:13" ht="11.25" customHeight="1">
      <c r="A108" s="361" t="s">
        <v>303</v>
      </c>
      <c r="B108" s="399"/>
      <c r="C108" s="399"/>
      <c r="D108" s="399"/>
      <c r="E108" s="399"/>
      <c r="F108" s="399"/>
      <c r="G108" s="399"/>
      <c r="H108" s="399"/>
      <c r="I108" s="399"/>
      <c r="J108" s="399"/>
      <c r="K108" s="399"/>
      <c r="L108" s="399"/>
      <c r="M108" s="112"/>
    </row>
    <row r="109" spans="1:13" ht="11.25" customHeight="1">
      <c r="A109" s="361" t="s">
        <v>304</v>
      </c>
      <c r="B109" s="399"/>
      <c r="C109" s="399"/>
      <c r="D109" s="399"/>
      <c r="E109" s="399"/>
      <c r="F109" s="399"/>
      <c r="G109" s="399"/>
      <c r="H109" s="399"/>
      <c r="I109" s="399"/>
      <c r="J109" s="399"/>
      <c r="K109" s="399"/>
      <c r="L109" s="399"/>
      <c r="M109" s="112"/>
    </row>
    <row r="110" spans="1:13" ht="11.25" customHeight="1">
      <c r="A110" s="365" t="s">
        <v>305</v>
      </c>
      <c r="B110" s="399"/>
      <c r="C110" s="399"/>
      <c r="D110" s="399"/>
      <c r="E110" s="399"/>
      <c r="F110" s="399"/>
      <c r="G110" s="399"/>
      <c r="H110" s="399"/>
      <c r="I110" s="399"/>
      <c r="J110" s="399"/>
      <c r="K110" s="399"/>
      <c r="L110" s="399"/>
      <c r="M110" s="112"/>
    </row>
    <row r="111" spans="1:13" ht="11.25" customHeight="1">
      <c r="A111" s="361" t="s">
        <v>106</v>
      </c>
      <c r="B111" s="399"/>
      <c r="C111" s="399"/>
      <c r="D111" s="399"/>
      <c r="E111" s="399"/>
      <c r="F111" s="399"/>
      <c r="G111" s="399"/>
      <c r="H111" s="399"/>
      <c r="I111" s="399"/>
      <c r="J111" s="399"/>
      <c r="K111" s="399"/>
      <c r="L111" s="399"/>
      <c r="M111" s="112"/>
    </row>
    <row r="112" spans="1:13" ht="11.25" customHeight="1">
      <c r="A112" s="361" t="s">
        <v>306</v>
      </c>
      <c r="B112" s="399"/>
      <c r="C112" s="399"/>
      <c r="D112" s="399"/>
      <c r="E112" s="399"/>
      <c r="F112" s="399"/>
      <c r="G112" s="399"/>
      <c r="H112" s="399"/>
      <c r="I112" s="399"/>
      <c r="J112" s="399"/>
      <c r="K112" s="399"/>
      <c r="L112" s="399"/>
      <c r="M112" s="112"/>
    </row>
    <row r="113" spans="1:13" ht="11.25" customHeight="1">
      <c r="A113" s="361"/>
      <c r="B113" s="399"/>
      <c r="C113" s="399"/>
      <c r="D113" s="399"/>
      <c r="E113" s="399"/>
      <c r="F113" s="399"/>
      <c r="G113" s="399"/>
      <c r="H113" s="399"/>
      <c r="I113" s="399"/>
      <c r="J113" s="399"/>
      <c r="K113" s="399"/>
      <c r="L113" s="399"/>
      <c r="M113" s="112"/>
    </row>
    <row r="114" spans="1:13" ht="10" customHeight="1">
      <c r="A114" s="137"/>
      <c r="B114" s="137"/>
      <c r="C114" s="137"/>
      <c r="D114" s="137"/>
      <c r="E114" s="137"/>
      <c r="F114" s="137"/>
      <c r="G114" s="137"/>
      <c r="H114" s="137"/>
      <c r="I114" s="137"/>
      <c r="J114" s="138"/>
      <c r="K114" s="139"/>
      <c r="L114" s="139"/>
    </row>
  </sheetData>
  <mergeCells count="21">
    <mergeCell ref="A111:L111"/>
    <mergeCell ref="A112:L112"/>
    <mergeCell ref="A113:L113"/>
    <mergeCell ref="A105:L105"/>
    <mergeCell ref="A106:L106"/>
    <mergeCell ref="A107:L107"/>
    <mergeCell ref="A108:L108"/>
    <mergeCell ref="A109:L109"/>
    <mergeCell ref="A110:L110"/>
    <mergeCell ref="A104:L104"/>
    <mergeCell ref="A1:L1"/>
    <mergeCell ref="A2:L2"/>
    <mergeCell ref="A3:L3"/>
    <mergeCell ref="A4:L4"/>
    <mergeCell ref="A5:L5"/>
    <mergeCell ref="A68:L68"/>
    <mergeCell ref="A70:L70"/>
    <mergeCell ref="A71:L71"/>
    <mergeCell ref="A72:L72"/>
    <mergeCell ref="A73:L73"/>
    <mergeCell ref="A74:L74"/>
  </mergeCells>
  <printOptions horizontalCentered="1"/>
  <pageMargins left="0.5" right="0.5" top="0.5" bottom="0.5" header="0.5" footer="0.5"/>
  <pageSetup scale="94" orientation="portrait" horizontalDpi="1200" verticalDpi="1200"/>
  <headerFooter alignWithMargins="0"/>
  <rowBreaks count="1" manualBreakCount="1">
    <brk id="69"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95A2-9660-6C44-8C77-8EFA96140838}">
  <dimension ref="A1:L130"/>
  <sheetViews>
    <sheetView topLeftCell="A85" zoomScale="165" workbookViewId="0">
      <selection activeCell="L104" sqref="A6:L104"/>
    </sheetView>
  </sheetViews>
  <sheetFormatPr baseColWidth="10" defaultRowHeight="11.25" customHeight="1"/>
  <cols>
    <col min="1" max="1" width="24.1640625" style="165" customWidth="1"/>
    <col min="2" max="2" width="1.1640625" style="165" customWidth="1"/>
    <col min="3" max="3" width="5.83203125" style="165" customWidth="1"/>
    <col min="4" max="4" width="1.1640625" style="165" customWidth="1"/>
    <col min="5" max="5" width="5.83203125" style="165" customWidth="1"/>
    <col min="6" max="6" width="1.83203125" style="165" customWidth="1"/>
    <col min="7" max="7" width="5.83203125" style="165" customWidth="1"/>
    <col min="8" max="8" width="1.83203125" style="165" customWidth="1"/>
    <col min="9" max="9" width="5.83203125" style="165" customWidth="1"/>
    <col min="10" max="10" width="1.1640625" style="165" customWidth="1"/>
    <col min="11" max="11" width="5.83203125" style="165" customWidth="1"/>
    <col min="12" max="12" width="1.83203125" style="165" customWidth="1"/>
    <col min="13" max="256" width="5.83203125" style="165" customWidth="1"/>
    <col min="257" max="257" width="24.1640625" style="165" customWidth="1"/>
    <col min="258" max="258" width="1.1640625" style="165" customWidth="1"/>
    <col min="259" max="259" width="5.83203125" style="165" customWidth="1"/>
    <col min="260" max="260" width="1.1640625" style="165" customWidth="1"/>
    <col min="261" max="261" width="5.83203125" style="165" customWidth="1"/>
    <col min="262" max="262" width="1.83203125" style="165" customWidth="1"/>
    <col min="263" max="263" width="5.83203125" style="165" customWidth="1"/>
    <col min="264" max="264" width="1.83203125" style="165" customWidth="1"/>
    <col min="265" max="265" width="5.83203125" style="165" customWidth="1"/>
    <col min="266" max="266" width="1.1640625" style="165" customWidth="1"/>
    <col min="267" max="267" width="5.83203125" style="165" customWidth="1"/>
    <col min="268" max="268" width="1.83203125" style="165" customWidth="1"/>
    <col min="269" max="512" width="5.83203125" style="165" customWidth="1"/>
    <col min="513" max="513" width="24.1640625" style="165" customWidth="1"/>
    <col min="514" max="514" width="1.1640625" style="165" customWidth="1"/>
    <col min="515" max="515" width="5.83203125" style="165" customWidth="1"/>
    <col min="516" max="516" width="1.1640625" style="165" customWidth="1"/>
    <col min="517" max="517" width="5.83203125" style="165" customWidth="1"/>
    <col min="518" max="518" width="1.83203125" style="165" customWidth="1"/>
    <col min="519" max="519" width="5.83203125" style="165" customWidth="1"/>
    <col min="520" max="520" width="1.83203125" style="165" customWidth="1"/>
    <col min="521" max="521" width="5.83203125" style="165" customWidth="1"/>
    <col min="522" max="522" width="1.1640625" style="165" customWidth="1"/>
    <col min="523" max="523" width="5.83203125" style="165" customWidth="1"/>
    <col min="524" max="524" width="1.83203125" style="165" customWidth="1"/>
    <col min="525" max="768" width="5.83203125" style="165" customWidth="1"/>
    <col min="769" max="769" width="24.1640625" style="165" customWidth="1"/>
    <col min="770" max="770" width="1.1640625" style="165" customWidth="1"/>
    <col min="771" max="771" width="5.83203125" style="165" customWidth="1"/>
    <col min="772" max="772" width="1.1640625" style="165" customWidth="1"/>
    <col min="773" max="773" width="5.83203125" style="165" customWidth="1"/>
    <col min="774" max="774" width="1.83203125" style="165" customWidth="1"/>
    <col min="775" max="775" width="5.83203125" style="165" customWidth="1"/>
    <col min="776" max="776" width="1.83203125" style="165" customWidth="1"/>
    <col min="777" max="777" width="5.83203125" style="165" customWidth="1"/>
    <col min="778" max="778" width="1.1640625" style="165" customWidth="1"/>
    <col min="779" max="779" width="5.83203125" style="165" customWidth="1"/>
    <col min="780" max="780" width="1.83203125" style="165" customWidth="1"/>
    <col min="781" max="1024" width="5.83203125" style="165" customWidth="1"/>
    <col min="1025" max="1025" width="24.1640625" style="165" customWidth="1"/>
    <col min="1026" max="1026" width="1.1640625" style="165" customWidth="1"/>
    <col min="1027" max="1027" width="5.83203125" style="165" customWidth="1"/>
    <col min="1028" max="1028" width="1.1640625" style="165" customWidth="1"/>
    <col min="1029" max="1029" width="5.83203125" style="165" customWidth="1"/>
    <col min="1030" max="1030" width="1.83203125" style="165" customWidth="1"/>
    <col min="1031" max="1031" width="5.83203125" style="165" customWidth="1"/>
    <col min="1032" max="1032" width="1.83203125" style="165" customWidth="1"/>
    <col min="1033" max="1033" width="5.83203125" style="165" customWidth="1"/>
    <col min="1034" max="1034" width="1.1640625" style="165" customWidth="1"/>
    <col min="1035" max="1035" width="5.83203125" style="165" customWidth="1"/>
    <col min="1036" max="1036" width="1.83203125" style="165" customWidth="1"/>
    <col min="1037" max="1280" width="5.83203125" style="165" customWidth="1"/>
    <col min="1281" max="1281" width="24.1640625" style="165" customWidth="1"/>
    <col min="1282" max="1282" width="1.1640625" style="165" customWidth="1"/>
    <col min="1283" max="1283" width="5.83203125" style="165" customWidth="1"/>
    <col min="1284" max="1284" width="1.1640625" style="165" customWidth="1"/>
    <col min="1285" max="1285" width="5.83203125" style="165" customWidth="1"/>
    <col min="1286" max="1286" width="1.83203125" style="165" customWidth="1"/>
    <col min="1287" max="1287" width="5.83203125" style="165" customWidth="1"/>
    <col min="1288" max="1288" width="1.83203125" style="165" customWidth="1"/>
    <col min="1289" max="1289" width="5.83203125" style="165" customWidth="1"/>
    <col min="1290" max="1290" width="1.1640625" style="165" customWidth="1"/>
    <col min="1291" max="1291" width="5.83203125" style="165" customWidth="1"/>
    <col min="1292" max="1292" width="1.83203125" style="165" customWidth="1"/>
    <col min="1293" max="1536" width="5.83203125" style="165" customWidth="1"/>
    <col min="1537" max="1537" width="24.1640625" style="165" customWidth="1"/>
    <col min="1538" max="1538" width="1.1640625" style="165" customWidth="1"/>
    <col min="1539" max="1539" width="5.83203125" style="165" customWidth="1"/>
    <col min="1540" max="1540" width="1.1640625" style="165" customWidth="1"/>
    <col min="1541" max="1541" width="5.83203125" style="165" customWidth="1"/>
    <col min="1542" max="1542" width="1.83203125" style="165" customWidth="1"/>
    <col min="1543" max="1543" width="5.83203125" style="165" customWidth="1"/>
    <col min="1544" max="1544" width="1.83203125" style="165" customWidth="1"/>
    <col min="1545" max="1545" width="5.83203125" style="165" customWidth="1"/>
    <col min="1546" max="1546" width="1.1640625" style="165" customWidth="1"/>
    <col min="1547" max="1547" width="5.83203125" style="165" customWidth="1"/>
    <col min="1548" max="1548" width="1.83203125" style="165" customWidth="1"/>
    <col min="1549" max="1792" width="5.83203125" style="165" customWidth="1"/>
    <col min="1793" max="1793" width="24.1640625" style="165" customWidth="1"/>
    <col min="1794" max="1794" width="1.1640625" style="165" customWidth="1"/>
    <col min="1795" max="1795" width="5.83203125" style="165" customWidth="1"/>
    <col min="1796" max="1796" width="1.1640625" style="165" customWidth="1"/>
    <col min="1797" max="1797" width="5.83203125" style="165" customWidth="1"/>
    <col min="1798" max="1798" width="1.83203125" style="165" customWidth="1"/>
    <col min="1799" max="1799" width="5.83203125" style="165" customWidth="1"/>
    <col min="1800" max="1800" width="1.83203125" style="165" customWidth="1"/>
    <col min="1801" max="1801" width="5.83203125" style="165" customWidth="1"/>
    <col min="1802" max="1802" width="1.1640625" style="165" customWidth="1"/>
    <col min="1803" max="1803" width="5.83203125" style="165" customWidth="1"/>
    <col min="1804" max="1804" width="1.83203125" style="165" customWidth="1"/>
    <col min="1805" max="2048" width="5.83203125" style="165" customWidth="1"/>
    <col min="2049" max="2049" width="24.1640625" style="165" customWidth="1"/>
    <col min="2050" max="2050" width="1.1640625" style="165" customWidth="1"/>
    <col min="2051" max="2051" width="5.83203125" style="165" customWidth="1"/>
    <col min="2052" max="2052" width="1.1640625" style="165" customWidth="1"/>
    <col min="2053" max="2053" width="5.83203125" style="165" customWidth="1"/>
    <col min="2054" max="2054" width="1.83203125" style="165" customWidth="1"/>
    <col min="2055" max="2055" width="5.83203125" style="165" customWidth="1"/>
    <col min="2056" max="2056" width="1.83203125" style="165" customWidth="1"/>
    <col min="2057" max="2057" width="5.83203125" style="165" customWidth="1"/>
    <col min="2058" max="2058" width="1.1640625" style="165" customWidth="1"/>
    <col min="2059" max="2059" width="5.83203125" style="165" customWidth="1"/>
    <col min="2060" max="2060" width="1.83203125" style="165" customWidth="1"/>
    <col min="2061" max="2304" width="5.83203125" style="165" customWidth="1"/>
    <col min="2305" max="2305" width="24.1640625" style="165" customWidth="1"/>
    <col min="2306" max="2306" width="1.1640625" style="165" customWidth="1"/>
    <col min="2307" max="2307" width="5.83203125" style="165" customWidth="1"/>
    <col min="2308" max="2308" width="1.1640625" style="165" customWidth="1"/>
    <col min="2309" max="2309" width="5.83203125" style="165" customWidth="1"/>
    <col min="2310" max="2310" width="1.83203125" style="165" customWidth="1"/>
    <col min="2311" max="2311" width="5.83203125" style="165" customWidth="1"/>
    <col min="2312" max="2312" width="1.83203125" style="165" customWidth="1"/>
    <col min="2313" max="2313" width="5.83203125" style="165" customWidth="1"/>
    <col min="2314" max="2314" width="1.1640625" style="165" customWidth="1"/>
    <col min="2315" max="2315" width="5.83203125" style="165" customWidth="1"/>
    <col min="2316" max="2316" width="1.83203125" style="165" customWidth="1"/>
    <col min="2317" max="2560" width="5.83203125" style="165" customWidth="1"/>
    <col min="2561" max="2561" width="24.1640625" style="165" customWidth="1"/>
    <col min="2562" max="2562" width="1.1640625" style="165" customWidth="1"/>
    <col min="2563" max="2563" width="5.83203125" style="165" customWidth="1"/>
    <col min="2564" max="2564" width="1.1640625" style="165" customWidth="1"/>
    <col min="2565" max="2565" width="5.83203125" style="165" customWidth="1"/>
    <col min="2566" max="2566" width="1.83203125" style="165" customWidth="1"/>
    <col min="2567" max="2567" width="5.83203125" style="165" customWidth="1"/>
    <col min="2568" max="2568" width="1.83203125" style="165" customWidth="1"/>
    <col min="2569" max="2569" width="5.83203125" style="165" customWidth="1"/>
    <col min="2570" max="2570" width="1.1640625" style="165" customWidth="1"/>
    <col min="2571" max="2571" width="5.83203125" style="165" customWidth="1"/>
    <col min="2572" max="2572" width="1.83203125" style="165" customWidth="1"/>
    <col min="2573" max="2816" width="5.83203125" style="165" customWidth="1"/>
    <col min="2817" max="2817" width="24.1640625" style="165" customWidth="1"/>
    <col min="2818" max="2818" width="1.1640625" style="165" customWidth="1"/>
    <col min="2819" max="2819" width="5.83203125" style="165" customWidth="1"/>
    <col min="2820" max="2820" width="1.1640625" style="165" customWidth="1"/>
    <col min="2821" max="2821" width="5.83203125" style="165" customWidth="1"/>
    <col min="2822" max="2822" width="1.83203125" style="165" customWidth="1"/>
    <col min="2823" max="2823" width="5.83203125" style="165" customWidth="1"/>
    <col min="2824" max="2824" width="1.83203125" style="165" customWidth="1"/>
    <col min="2825" max="2825" width="5.83203125" style="165" customWidth="1"/>
    <col min="2826" max="2826" width="1.1640625" style="165" customWidth="1"/>
    <col min="2827" max="2827" width="5.83203125" style="165" customWidth="1"/>
    <col min="2828" max="2828" width="1.83203125" style="165" customWidth="1"/>
    <col min="2829" max="3072" width="5.83203125" style="165" customWidth="1"/>
    <col min="3073" max="3073" width="24.1640625" style="165" customWidth="1"/>
    <col min="3074" max="3074" width="1.1640625" style="165" customWidth="1"/>
    <col min="3075" max="3075" width="5.83203125" style="165" customWidth="1"/>
    <col min="3076" max="3076" width="1.1640625" style="165" customWidth="1"/>
    <col min="3077" max="3077" width="5.83203125" style="165" customWidth="1"/>
    <col min="3078" max="3078" width="1.83203125" style="165" customWidth="1"/>
    <col min="3079" max="3079" width="5.83203125" style="165" customWidth="1"/>
    <col min="3080" max="3080" width="1.83203125" style="165" customWidth="1"/>
    <col min="3081" max="3081" width="5.83203125" style="165" customWidth="1"/>
    <col min="3082" max="3082" width="1.1640625" style="165" customWidth="1"/>
    <col min="3083" max="3083" width="5.83203125" style="165" customWidth="1"/>
    <col min="3084" max="3084" width="1.83203125" style="165" customWidth="1"/>
    <col min="3085" max="3328" width="5.83203125" style="165" customWidth="1"/>
    <col min="3329" max="3329" width="24.1640625" style="165" customWidth="1"/>
    <col min="3330" max="3330" width="1.1640625" style="165" customWidth="1"/>
    <col min="3331" max="3331" width="5.83203125" style="165" customWidth="1"/>
    <col min="3332" max="3332" width="1.1640625" style="165" customWidth="1"/>
    <col min="3333" max="3333" width="5.83203125" style="165" customWidth="1"/>
    <col min="3334" max="3334" width="1.83203125" style="165" customWidth="1"/>
    <col min="3335" max="3335" width="5.83203125" style="165" customWidth="1"/>
    <col min="3336" max="3336" width="1.83203125" style="165" customWidth="1"/>
    <col min="3337" max="3337" width="5.83203125" style="165" customWidth="1"/>
    <col min="3338" max="3338" width="1.1640625" style="165" customWidth="1"/>
    <col min="3339" max="3339" width="5.83203125" style="165" customWidth="1"/>
    <col min="3340" max="3340" width="1.83203125" style="165" customWidth="1"/>
    <col min="3341" max="3584" width="5.83203125" style="165" customWidth="1"/>
    <col min="3585" max="3585" width="24.1640625" style="165" customWidth="1"/>
    <col min="3586" max="3586" width="1.1640625" style="165" customWidth="1"/>
    <col min="3587" max="3587" width="5.83203125" style="165" customWidth="1"/>
    <col min="3588" max="3588" width="1.1640625" style="165" customWidth="1"/>
    <col min="3589" max="3589" width="5.83203125" style="165" customWidth="1"/>
    <col min="3590" max="3590" width="1.83203125" style="165" customWidth="1"/>
    <col min="3591" max="3591" width="5.83203125" style="165" customWidth="1"/>
    <col min="3592" max="3592" width="1.83203125" style="165" customWidth="1"/>
    <col min="3593" max="3593" width="5.83203125" style="165" customWidth="1"/>
    <col min="3594" max="3594" width="1.1640625" style="165" customWidth="1"/>
    <col min="3595" max="3595" width="5.83203125" style="165" customWidth="1"/>
    <col min="3596" max="3596" width="1.83203125" style="165" customWidth="1"/>
    <col min="3597" max="3840" width="5.83203125" style="165" customWidth="1"/>
    <col min="3841" max="3841" width="24.1640625" style="165" customWidth="1"/>
    <col min="3842" max="3842" width="1.1640625" style="165" customWidth="1"/>
    <col min="3843" max="3843" width="5.83203125" style="165" customWidth="1"/>
    <col min="3844" max="3844" width="1.1640625" style="165" customWidth="1"/>
    <col min="3845" max="3845" width="5.83203125" style="165" customWidth="1"/>
    <col min="3846" max="3846" width="1.83203125" style="165" customWidth="1"/>
    <col min="3847" max="3847" width="5.83203125" style="165" customWidth="1"/>
    <col min="3848" max="3848" width="1.83203125" style="165" customWidth="1"/>
    <col min="3849" max="3849" width="5.83203125" style="165" customWidth="1"/>
    <col min="3850" max="3850" width="1.1640625" style="165" customWidth="1"/>
    <col min="3851" max="3851" width="5.83203125" style="165" customWidth="1"/>
    <col min="3852" max="3852" width="1.83203125" style="165" customWidth="1"/>
    <col min="3853" max="4096" width="5.83203125" style="165" customWidth="1"/>
    <col min="4097" max="4097" width="24.1640625" style="165" customWidth="1"/>
    <col min="4098" max="4098" width="1.1640625" style="165" customWidth="1"/>
    <col min="4099" max="4099" width="5.83203125" style="165" customWidth="1"/>
    <col min="4100" max="4100" width="1.1640625" style="165" customWidth="1"/>
    <col min="4101" max="4101" width="5.83203125" style="165" customWidth="1"/>
    <col min="4102" max="4102" width="1.83203125" style="165" customWidth="1"/>
    <col min="4103" max="4103" width="5.83203125" style="165" customWidth="1"/>
    <col min="4104" max="4104" width="1.83203125" style="165" customWidth="1"/>
    <col min="4105" max="4105" width="5.83203125" style="165" customWidth="1"/>
    <col min="4106" max="4106" width="1.1640625" style="165" customWidth="1"/>
    <col min="4107" max="4107" width="5.83203125" style="165" customWidth="1"/>
    <col min="4108" max="4108" width="1.83203125" style="165" customWidth="1"/>
    <col min="4109" max="4352" width="5.83203125" style="165" customWidth="1"/>
    <col min="4353" max="4353" width="24.1640625" style="165" customWidth="1"/>
    <col min="4354" max="4354" width="1.1640625" style="165" customWidth="1"/>
    <col min="4355" max="4355" width="5.83203125" style="165" customWidth="1"/>
    <col min="4356" max="4356" width="1.1640625" style="165" customWidth="1"/>
    <col min="4357" max="4357" width="5.83203125" style="165" customWidth="1"/>
    <col min="4358" max="4358" width="1.83203125" style="165" customWidth="1"/>
    <col min="4359" max="4359" width="5.83203125" style="165" customWidth="1"/>
    <col min="4360" max="4360" width="1.83203125" style="165" customWidth="1"/>
    <col min="4361" max="4361" width="5.83203125" style="165" customWidth="1"/>
    <col min="4362" max="4362" width="1.1640625" style="165" customWidth="1"/>
    <col min="4363" max="4363" width="5.83203125" style="165" customWidth="1"/>
    <col min="4364" max="4364" width="1.83203125" style="165" customWidth="1"/>
    <col min="4365" max="4608" width="5.83203125" style="165" customWidth="1"/>
    <col min="4609" max="4609" width="24.1640625" style="165" customWidth="1"/>
    <col min="4610" max="4610" width="1.1640625" style="165" customWidth="1"/>
    <col min="4611" max="4611" width="5.83203125" style="165" customWidth="1"/>
    <col min="4612" max="4612" width="1.1640625" style="165" customWidth="1"/>
    <col min="4613" max="4613" width="5.83203125" style="165" customWidth="1"/>
    <col min="4614" max="4614" width="1.83203125" style="165" customWidth="1"/>
    <col min="4615" max="4615" width="5.83203125" style="165" customWidth="1"/>
    <col min="4616" max="4616" width="1.83203125" style="165" customWidth="1"/>
    <col min="4617" max="4617" width="5.83203125" style="165" customWidth="1"/>
    <col min="4618" max="4618" width="1.1640625" style="165" customWidth="1"/>
    <col min="4619" max="4619" width="5.83203125" style="165" customWidth="1"/>
    <col min="4620" max="4620" width="1.83203125" style="165" customWidth="1"/>
    <col min="4621" max="4864" width="5.83203125" style="165" customWidth="1"/>
    <col min="4865" max="4865" width="24.1640625" style="165" customWidth="1"/>
    <col min="4866" max="4866" width="1.1640625" style="165" customWidth="1"/>
    <col min="4867" max="4867" width="5.83203125" style="165" customWidth="1"/>
    <col min="4868" max="4868" width="1.1640625" style="165" customWidth="1"/>
    <col min="4869" max="4869" width="5.83203125" style="165" customWidth="1"/>
    <col min="4870" max="4870" width="1.83203125" style="165" customWidth="1"/>
    <col min="4871" max="4871" width="5.83203125" style="165" customWidth="1"/>
    <col min="4872" max="4872" width="1.83203125" style="165" customWidth="1"/>
    <col min="4873" max="4873" width="5.83203125" style="165" customWidth="1"/>
    <col min="4874" max="4874" width="1.1640625" style="165" customWidth="1"/>
    <col min="4875" max="4875" width="5.83203125" style="165" customWidth="1"/>
    <col min="4876" max="4876" width="1.83203125" style="165" customWidth="1"/>
    <col min="4877" max="5120" width="5.83203125" style="165" customWidth="1"/>
    <col min="5121" max="5121" width="24.1640625" style="165" customWidth="1"/>
    <col min="5122" max="5122" width="1.1640625" style="165" customWidth="1"/>
    <col min="5123" max="5123" width="5.83203125" style="165" customWidth="1"/>
    <col min="5124" max="5124" width="1.1640625" style="165" customWidth="1"/>
    <col min="5125" max="5125" width="5.83203125" style="165" customWidth="1"/>
    <col min="5126" max="5126" width="1.83203125" style="165" customWidth="1"/>
    <col min="5127" max="5127" width="5.83203125" style="165" customWidth="1"/>
    <col min="5128" max="5128" width="1.83203125" style="165" customWidth="1"/>
    <col min="5129" max="5129" width="5.83203125" style="165" customWidth="1"/>
    <col min="5130" max="5130" width="1.1640625" style="165" customWidth="1"/>
    <col min="5131" max="5131" width="5.83203125" style="165" customWidth="1"/>
    <col min="5132" max="5132" width="1.83203125" style="165" customWidth="1"/>
    <col min="5133" max="5376" width="5.83203125" style="165" customWidth="1"/>
    <col min="5377" max="5377" width="24.1640625" style="165" customWidth="1"/>
    <col min="5378" max="5378" width="1.1640625" style="165" customWidth="1"/>
    <col min="5379" max="5379" width="5.83203125" style="165" customWidth="1"/>
    <col min="5380" max="5380" width="1.1640625" style="165" customWidth="1"/>
    <col min="5381" max="5381" width="5.83203125" style="165" customWidth="1"/>
    <col min="5382" max="5382" width="1.83203125" style="165" customWidth="1"/>
    <col min="5383" max="5383" width="5.83203125" style="165" customWidth="1"/>
    <col min="5384" max="5384" width="1.83203125" style="165" customWidth="1"/>
    <col min="5385" max="5385" width="5.83203125" style="165" customWidth="1"/>
    <col min="5386" max="5386" width="1.1640625" style="165" customWidth="1"/>
    <col min="5387" max="5387" width="5.83203125" style="165" customWidth="1"/>
    <col min="5388" max="5388" width="1.83203125" style="165" customWidth="1"/>
    <col min="5389" max="5632" width="5.83203125" style="165" customWidth="1"/>
    <col min="5633" max="5633" width="24.1640625" style="165" customWidth="1"/>
    <col min="5634" max="5634" width="1.1640625" style="165" customWidth="1"/>
    <col min="5635" max="5635" width="5.83203125" style="165" customWidth="1"/>
    <col min="5636" max="5636" width="1.1640625" style="165" customWidth="1"/>
    <col min="5637" max="5637" width="5.83203125" style="165" customWidth="1"/>
    <col min="5638" max="5638" width="1.83203125" style="165" customWidth="1"/>
    <col min="5639" max="5639" width="5.83203125" style="165" customWidth="1"/>
    <col min="5640" max="5640" width="1.83203125" style="165" customWidth="1"/>
    <col min="5641" max="5641" width="5.83203125" style="165" customWidth="1"/>
    <col min="5642" max="5642" width="1.1640625" style="165" customWidth="1"/>
    <col min="5643" max="5643" width="5.83203125" style="165" customWidth="1"/>
    <col min="5644" max="5644" width="1.83203125" style="165" customWidth="1"/>
    <col min="5645" max="5888" width="5.83203125" style="165" customWidth="1"/>
    <col min="5889" max="5889" width="24.1640625" style="165" customWidth="1"/>
    <col min="5890" max="5890" width="1.1640625" style="165" customWidth="1"/>
    <col min="5891" max="5891" width="5.83203125" style="165" customWidth="1"/>
    <col min="5892" max="5892" width="1.1640625" style="165" customWidth="1"/>
    <col min="5893" max="5893" width="5.83203125" style="165" customWidth="1"/>
    <col min="5894" max="5894" width="1.83203125" style="165" customWidth="1"/>
    <col min="5895" max="5895" width="5.83203125" style="165" customWidth="1"/>
    <col min="5896" max="5896" width="1.83203125" style="165" customWidth="1"/>
    <col min="5897" max="5897" width="5.83203125" style="165" customWidth="1"/>
    <col min="5898" max="5898" width="1.1640625" style="165" customWidth="1"/>
    <col min="5899" max="5899" width="5.83203125" style="165" customWidth="1"/>
    <col min="5900" max="5900" width="1.83203125" style="165" customWidth="1"/>
    <col min="5901" max="6144" width="5.83203125" style="165" customWidth="1"/>
    <col min="6145" max="6145" width="24.1640625" style="165" customWidth="1"/>
    <col min="6146" max="6146" width="1.1640625" style="165" customWidth="1"/>
    <col min="6147" max="6147" width="5.83203125" style="165" customWidth="1"/>
    <col min="6148" max="6148" width="1.1640625" style="165" customWidth="1"/>
    <col min="6149" max="6149" width="5.83203125" style="165" customWidth="1"/>
    <col min="6150" max="6150" width="1.83203125" style="165" customWidth="1"/>
    <col min="6151" max="6151" width="5.83203125" style="165" customWidth="1"/>
    <col min="6152" max="6152" width="1.83203125" style="165" customWidth="1"/>
    <col min="6153" max="6153" width="5.83203125" style="165" customWidth="1"/>
    <col min="6154" max="6154" width="1.1640625" style="165" customWidth="1"/>
    <col min="6155" max="6155" width="5.83203125" style="165" customWidth="1"/>
    <col min="6156" max="6156" width="1.83203125" style="165" customWidth="1"/>
    <col min="6157" max="6400" width="5.83203125" style="165" customWidth="1"/>
    <col min="6401" max="6401" width="24.1640625" style="165" customWidth="1"/>
    <col min="6402" max="6402" width="1.1640625" style="165" customWidth="1"/>
    <col min="6403" max="6403" width="5.83203125" style="165" customWidth="1"/>
    <col min="6404" max="6404" width="1.1640625" style="165" customWidth="1"/>
    <col min="6405" max="6405" width="5.83203125" style="165" customWidth="1"/>
    <col min="6406" max="6406" width="1.83203125" style="165" customWidth="1"/>
    <col min="6407" max="6407" width="5.83203125" style="165" customWidth="1"/>
    <col min="6408" max="6408" width="1.83203125" style="165" customWidth="1"/>
    <col min="6409" max="6409" width="5.83203125" style="165" customWidth="1"/>
    <col min="6410" max="6410" width="1.1640625" style="165" customWidth="1"/>
    <col min="6411" max="6411" width="5.83203125" style="165" customWidth="1"/>
    <col min="6412" max="6412" width="1.83203125" style="165" customWidth="1"/>
    <col min="6413" max="6656" width="5.83203125" style="165" customWidth="1"/>
    <col min="6657" max="6657" width="24.1640625" style="165" customWidth="1"/>
    <col min="6658" max="6658" width="1.1640625" style="165" customWidth="1"/>
    <col min="6659" max="6659" width="5.83203125" style="165" customWidth="1"/>
    <col min="6660" max="6660" width="1.1640625" style="165" customWidth="1"/>
    <col min="6661" max="6661" width="5.83203125" style="165" customWidth="1"/>
    <col min="6662" max="6662" width="1.83203125" style="165" customWidth="1"/>
    <col min="6663" max="6663" width="5.83203125" style="165" customWidth="1"/>
    <col min="6664" max="6664" width="1.83203125" style="165" customWidth="1"/>
    <col min="6665" max="6665" width="5.83203125" style="165" customWidth="1"/>
    <col min="6666" max="6666" width="1.1640625" style="165" customWidth="1"/>
    <col min="6667" max="6667" width="5.83203125" style="165" customWidth="1"/>
    <col min="6668" max="6668" width="1.83203125" style="165" customWidth="1"/>
    <col min="6669" max="6912" width="5.83203125" style="165" customWidth="1"/>
    <col min="6913" max="6913" width="24.1640625" style="165" customWidth="1"/>
    <col min="6914" max="6914" width="1.1640625" style="165" customWidth="1"/>
    <col min="6915" max="6915" width="5.83203125" style="165" customWidth="1"/>
    <col min="6916" max="6916" width="1.1640625" style="165" customWidth="1"/>
    <col min="6917" max="6917" width="5.83203125" style="165" customWidth="1"/>
    <col min="6918" max="6918" width="1.83203125" style="165" customWidth="1"/>
    <col min="6919" max="6919" width="5.83203125" style="165" customWidth="1"/>
    <col min="6920" max="6920" width="1.83203125" style="165" customWidth="1"/>
    <col min="6921" max="6921" width="5.83203125" style="165" customWidth="1"/>
    <col min="6922" max="6922" width="1.1640625" style="165" customWidth="1"/>
    <col min="6923" max="6923" width="5.83203125" style="165" customWidth="1"/>
    <col min="6924" max="6924" width="1.83203125" style="165" customWidth="1"/>
    <col min="6925" max="7168" width="5.83203125" style="165" customWidth="1"/>
    <col min="7169" max="7169" width="24.1640625" style="165" customWidth="1"/>
    <col min="7170" max="7170" width="1.1640625" style="165" customWidth="1"/>
    <col min="7171" max="7171" width="5.83203125" style="165" customWidth="1"/>
    <col min="7172" max="7172" width="1.1640625" style="165" customWidth="1"/>
    <col min="7173" max="7173" width="5.83203125" style="165" customWidth="1"/>
    <col min="7174" max="7174" width="1.83203125" style="165" customWidth="1"/>
    <col min="7175" max="7175" width="5.83203125" style="165" customWidth="1"/>
    <col min="7176" max="7176" width="1.83203125" style="165" customWidth="1"/>
    <col min="7177" max="7177" width="5.83203125" style="165" customWidth="1"/>
    <col min="7178" max="7178" width="1.1640625" style="165" customWidth="1"/>
    <col min="7179" max="7179" width="5.83203125" style="165" customWidth="1"/>
    <col min="7180" max="7180" width="1.83203125" style="165" customWidth="1"/>
    <col min="7181" max="7424" width="5.83203125" style="165" customWidth="1"/>
    <col min="7425" max="7425" width="24.1640625" style="165" customWidth="1"/>
    <col min="7426" max="7426" width="1.1640625" style="165" customWidth="1"/>
    <col min="7427" max="7427" width="5.83203125" style="165" customWidth="1"/>
    <col min="7428" max="7428" width="1.1640625" style="165" customWidth="1"/>
    <col min="7429" max="7429" width="5.83203125" style="165" customWidth="1"/>
    <col min="7430" max="7430" width="1.83203125" style="165" customWidth="1"/>
    <col min="7431" max="7431" width="5.83203125" style="165" customWidth="1"/>
    <col min="7432" max="7432" width="1.83203125" style="165" customWidth="1"/>
    <col min="7433" max="7433" width="5.83203125" style="165" customWidth="1"/>
    <col min="7434" max="7434" width="1.1640625" style="165" customWidth="1"/>
    <col min="7435" max="7435" width="5.83203125" style="165" customWidth="1"/>
    <col min="7436" max="7436" width="1.83203125" style="165" customWidth="1"/>
    <col min="7437" max="7680" width="5.83203125" style="165" customWidth="1"/>
    <col min="7681" max="7681" width="24.1640625" style="165" customWidth="1"/>
    <col min="7682" max="7682" width="1.1640625" style="165" customWidth="1"/>
    <col min="7683" max="7683" width="5.83203125" style="165" customWidth="1"/>
    <col min="7684" max="7684" width="1.1640625" style="165" customWidth="1"/>
    <col min="7685" max="7685" width="5.83203125" style="165" customWidth="1"/>
    <col min="7686" max="7686" width="1.83203125" style="165" customWidth="1"/>
    <col min="7687" max="7687" width="5.83203125" style="165" customWidth="1"/>
    <col min="7688" max="7688" width="1.83203125" style="165" customWidth="1"/>
    <col min="7689" max="7689" width="5.83203125" style="165" customWidth="1"/>
    <col min="7690" max="7690" width="1.1640625" style="165" customWidth="1"/>
    <col min="7691" max="7691" width="5.83203125" style="165" customWidth="1"/>
    <col min="7692" max="7692" width="1.83203125" style="165" customWidth="1"/>
    <col min="7693" max="7936" width="5.83203125" style="165" customWidth="1"/>
    <col min="7937" max="7937" width="24.1640625" style="165" customWidth="1"/>
    <col min="7938" max="7938" width="1.1640625" style="165" customWidth="1"/>
    <col min="7939" max="7939" width="5.83203125" style="165" customWidth="1"/>
    <col min="7940" max="7940" width="1.1640625" style="165" customWidth="1"/>
    <col min="7941" max="7941" width="5.83203125" style="165" customWidth="1"/>
    <col min="7942" max="7942" width="1.83203125" style="165" customWidth="1"/>
    <col min="7943" max="7943" width="5.83203125" style="165" customWidth="1"/>
    <col min="7944" max="7944" width="1.83203125" style="165" customWidth="1"/>
    <col min="7945" max="7945" width="5.83203125" style="165" customWidth="1"/>
    <col min="7946" max="7946" width="1.1640625" style="165" customWidth="1"/>
    <col min="7947" max="7947" width="5.83203125" style="165" customWidth="1"/>
    <col min="7948" max="7948" width="1.83203125" style="165" customWidth="1"/>
    <col min="7949" max="8192" width="5.83203125" style="165" customWidth="1"/>
    <col min="8193" max="8193" width="24.1640625" style="165" customWidth="1"/>
    <col min="8194" max="8194" width="1.1640625" style="165" customWidth="1"/>
    <col min="8195" max="8195" width="5.83203125" style="165" customWidth="1"/>
    <col min="8196" max="8196" width="1.1640625" style="165" customWidth="1"/>
    <col min="8197" max="8197" width="5.83203125" style="165" customWidth="1"/>
    <col min="8198" max="8198" width="1.83203125" style="165" customWidth="1"/>
    <col min="8199" max="8199" width="5.83203125" style="165" customWidth="1"/>
    <col min="8200" max="8200" width="1.83203125" style="165" customWidth="1"/>
    <col min="8201" max="8201" width="5.83203125" style="165" customWidth="1"/>
    <col min="8202" max="8202" width="1.1640625" style="165" customWidth="1"/>
    <col min="8203" max="8203" width="5.83203125" style="165" customWidth="1"/>
    <col min="8204" max="8204" width="1.83203125" style="165" customWidth="1"/>
    <col min="8205" max="8448" width="5.83203125" style="165" customWidth="1"/>
    <col min="8449" max="8449" width="24.1640625" style="165" customWidth="1"/>
    <col min="8450" max="8450" width="1.1640625" style="165" customWidth="1"/>
    <col min="8451" max="8451" width="5.83203125" style="165" customWidth="1"/>
    <col min="8452" max="8452" width="1.1640625" style="165" customWidth="1"/>
    <col min="8453" max="8453" width="5.83203125" style="165" customWidth="1"/>
    <col min="8454" max="8454" width="1.83203125" style="165" customWidth="1"/>
    <col min="8455" max="8455" width="5.83203125" style="165" customWidth="1"/>
    <col min="8456" max="8456" width="1.83203125" style="165" customWidth="1"/>
    <col min="8457" max="8457" width="5.83203125" style="165" customWidth="1"/>
    <col min="8458" max="8458" width="1.1640625" style="165" customWidth="1"/>
    <col min="8459" max="8459" width="5.83203125" style="165" customWidth="1"/>
    <col min="8460" max="8460" width="1.83203125" style="165" customWidth="1"/>
    <col min="8461" max="8704" width="5.83203125" style="165" customWidth="1"/>
    <col min="8705" max="8705" width="24.1640625" style="165" customWidth="1"/>
    <col min="8706" max="8706" width="1.1640625" style="165" customWidth="1"/>
    <col min="8707" max="8707" width="5.83203125" style="165" customWidth="1"/>
    <col min="8708" max="8708" width="1.1640625" style="165" customWidth="1"/>
    <col min="8709" max="8709" width="5.83203125" style="165" customWidth="1"/>
    <col min="8710" max="8710" width="1.83203125" style="165" customWidth="1"/>
    <col min="8711" max="8711" width="5.83203125" style="165" customWidth="1"/>
    <col min="8712" max="8712" width="1.83203125" style="165" customWidth="1"/>
    <col min="8713" max="8713" width="5.83203125" style="165" customWidth="1"/>
    <col min="8714" max="8714" width="1.1640625" style="165" customWidth="1"/>
    <col min="8715" max="8715" width="5.83203125" style="165" customWidth="1"/>
    <col min="8716" max="8716" width="1.83203125" style="165" customWidth="1"/>
    <col min="8717" max="8960" width="5.83203125" style="165" customWidth="1"/>
    <col min="8961" max="8961" width="24.1640625" style="165" customWidth="1"/>
    <col min="8962" max="8962" width="1.1640625" style="165" customWidth="1"/>
    <col min="8963" max="8963" width="5.83203125" style="165" customWidth="1"/>
    <col min="8964" max="8964" width="1.1640625" style="165" customWidth="1"/>
    <col min="8965" max="8965" width="5.83203125" style="165" customWidth="1"/>
    <col min="8966" max="8966" width="1.83203125" style="165" customWidth="1"/>
    <col min="8967" max="8967" width="5.83203125" style="165" customWidth="1"/>
    <col min="8968" max="8968" width="1.83203125" style="165" customWidth="1"/>
    <col min="8969" max="8969" width="5.83203125" style="165" customWidth="1"/>
    <col min="8970" max="8970" width="1.1640625" style="165" customWidth="1"/>
    <col min="8971" max="8971" width="5.83203125" style="165" customWidth="1"/>
    <col min="8972" max="8972" width="1.83203125" style="165" customWidth="1"/>
    <col min="8973" max="9216" width="5.83203125" style="165" customWidth="1"/>
    <col min="9217" max="9217" width="24.1640625" style="165" customWidth="1"/>
    <col min="9218" max="9218" width="1.1640625" style="165" customWidth="1"/>
    <col min="9219" max="9219" width="5.83203125" style="165" customWidth="1"/>
    <col min="9220" max="9220" width="1.1640625" style="165" customWidth="1"/>
    <col min="9221" max="9221" width="5.83203125" style="165" customWidth="1"/>
    <col min="9222" max="9222" width="1.83203125" style="165" customWidth="1"/>
    <col min="9223" max="9223" width="5.83203125" style="165" customWidth="1"/>
    <col min="9224" max="9224" width="1.83203125" style="165" customWidth="1"/>
    <col min="9225" max="9225" width="5.83203125" style="165" customWidth="1"/>
    <col min="9226" max="9226" width="1.1640625" style="165" customWidth="1"/>
    <col min="9227" max="9227" width="5.83203125" style="165" customWidth="1"/>
    <col min="9228" max="9228" width="1.83203125" style="165" customWidth="1"/>
    <col min="9229" max="9472" width="5.83203125" style="165" customWidth="1"/>
    <col min="9473" max="9473" width="24.1640625" style="165" customWidth="1"/>
    <col min="9474" max="9474" width="1.1640625" style="165" customWidth="1"/>
    <col min="9475" max="9475" width="5.83203125" style="165" customWidth="1"/>
    <col min="9476" max="9476" width="1.1640625" style="165" customWidth="1"/>
    <col min="9477" max="9477" width="5.83203125" style="165" customWidth="1"/>
    <col min="9478" max="9478" width="1.83203125" style="165" customWidth="1"/>
    <col min="9479" max="9479" width="5.83203125" style="165" customWidth="1"/>
    <col min="9480" max="9480" width="1.83203125" style="165" customWidth="1"/>
    <col min="9481" max="9481" width="5.83203125" style="165" customWidth="1"/>
    <col min="9482" max="9482" width="1.1640625" style="165" customWidth="1"/>
    <col min="9483" max="9483" width="5.83203125" style="165" customWidth="1"/>
    <col min="9484" max="9484" width="1.83203125" style="165" customWidth="1"/>
    <col min="9485" max="9728" width="5.83203125" style="165" customWidth="1"/>
    <col min="9729" max="9729" width="24.1640625" style="165" customWidth="1"/>
    <col min="9730" max="9730" width="1.1640625" style="165" customWidth="1"/>
    <col min="9731" max="9731" width="5.83203125" style="165" customWidth="1"/>
    <col min="9732" max="9732" width="1.1640625" style="165" customWidth="1"/>
    <col min="9733" max="9733" width="5.83203125" style="165" customWidth="1"/>
    <col min="9734" max="9734" width="1.83203125" style="165" customWidth="1"/>
    <col min="9735" max="9735" width="5.83203125" style="165" customWidth="1"/>
    <col min="9736" max="9736" width="1.83203125" style="165" customWidth="1"/>
    <col min="9737" max="9737" width="5.83203125" style="165" customWidth="1"/>
    <col min="9738" max="9738" width="1.1640625" style="165" customWidth="1"/>
    <col min="9739" max="9739" width="5.83203125" style="165" customWidth="1"/>
    <col min="9740" max="9740" width="1.83203125" style="165" customWidth="1"/>
    <col min="9741" max="9984" width="5.83203125" style="165" customWidth="1"/>
    <col min="9985" max="9985" width="24.1640625" style="165" customWidth="1"/>
    <col min="9986" max="9986" width="1.1640625" style="165" customWidth="1"/>
    <col min="9987" max="9987" width="5.83203125" style="165" customWidth="1"/>
    <col min="9988" max="9988" width="1.1640625" style="165" customWidth="1"/>
    <col min="9989" max="9989" width="5.83203125" style="165" customWidth="1"/>
    <col min="9990" max="9990" width="1.83203125" style="165" customWidth="1"/>
    <col min="9991" max="9991" width="5.83203125" style="165" customWidth="1"/>
    <col min="9992" max="9992" width="1.83203125" style="165" customWidth="1"/>
    <col min="9993" max="9993" width="5.83203125" style="165" customWidth="1"/>
    <col min="9994" max="9994" width="1.1640625" style="165" customWidth="1"/>
    <col min="9995" max="9995" width="5.83203125" style="165" customWidth="1"/>
    <col min="9996" max="9996" width="1.83203125" style="165" customWidth="1"/>
    <col min="9997" max="10240" width="5.83203125" style="165" customWidth="1"/>
    <col min="10241" max="10241" width="24.1640625" style="165" customWidth="1"/>
    <col min="10242" max="10242" width="1.1640625" style="165" customWidth="1"/>
    <col min="10243" max="10243" width="5.83203125" style="165" customWidth="1"/>
    <col min="10244" max="10244" width="1.1640625" style="165" customWidth="1"/>
    <col min="10245" max="10245" width="5.83203125" style="165" customWidth="1"/>
    <col min="10246" max="10246" width="1.83203125" style="165" customWidth="1"/>
    <col min="10247" max="10247" width="5.83203125" style="165" customWidth="1"/>
    <col min="10248" max="10248" width="1.83203125" style="165" customWidth="1"/>
    <col min="10249" max="10249" width="5.83203125" style="165" customWidth="1"/>
    <col min="10250" max="10250" width="1.1640625" style="165" customWidth="1"/>
    <col min="10251" max="10251" width="5.83203125" style="165" customWidth="1"/>
    <col min="10252" max="10252" width="1.83203125" style="165" customWidth="1"/>
    <col min="10253" max="10496" width="5.83203125" style="165" customWidth="1"/>
    <col min="10497" max="10497" width="24.1640625" style="165" customWidth="1"/>
    <col min="10498" max="10498" width="1.1640625" style="165" customWidth="1"/>
    <col min="10499" max="10499" width="5.83203125" style="165" customWidth="1"/>
    <col min="10500" max="10500" width="1.1640625" style="165" customWidth="1"/>
    <col min="10501" max="10501" width="5.83203125" style="165" customWidth="1"/>
    <col min="10502" max="10502" width="1.83203125" style="165" customWidth="1"/>
    <col min="10503" max="10503" width="5.83203125" style="165" customWidth="1"/>
    <col min="10504" max="10504" width="1.83203125" style="165" customWidth="1"/>
    <col min="10505" max="10505" width="5.83203125" style="165" customWidth="1"/>
    <col min="10506" max="10506" width="1.1640625" style="165" customWidth="1"/>
    <col min="10507" max="10507" width="5.83203125" style="165" customWidth="1"/>
    <col min="10508" max="10508" width="1.83203125" style="165" customWidth="1"/>
    <col min="10509" max="10752" width="5.83203125" style="165" customWidth="1"/>
    <col min="10753" max="10753" width="24.1640625" style="165" customWidth="1"/>
    <col min="10754" max="10754" width="1.1640625" style="165" customWidth="1"/>
    <col min="10755" max="10755" width="5.83203125" style="165" customWidth="1"/>
    <col min="10756" max="10756" width="1.1640625" style="165" customWidth="1"/>
    <col min="10757" max="10757" width="5.83203125" style="165" customWidth="1"/>
    <col min="10758" max="10758" width="1.83203125" style="165" customWidth="1"/>
    <col min="10759" max="10759" width="5.83203125" style="165" customWidth="1"/>
    <col min="10760" max="10760" width="1.83203125" style="165" customWidth="1"/>
    <col min="10761" max="10761" width="5.83203125" style="165" customWidth="1"/>
    <col min="10762" max="10762" width="1.1640625" style="165" customWidth="1"/>
    <col min="10763" max="10763" width="5.83203125" style="165" customWidth="1"/>
    <col min="10764" max="10764" width="1.83203125" style="165" customWidth="1"/>
    <col min="10765" max="11008" width="5.83203125" style="165" customWidth="1"/>
    <col min="11009" max="11009" width="24.1640625" style="165" customWidth="1"/>
    <col min="11010" max="11010" width="1.1640625" style="165" customWidth="1"/>
    <col min="11011" max="11011" width="5.83203125" style="165" customWidth="1"/>
    <col min="11012" max="11012" width="1.1640625" style="165" customWidth="1"/>
    <col min="11013" max="11013" width="5.83203125" style="165" customWidth="1"/>
    <col min="11014" max="11014" width="1.83203125" style="165" customWidth="1"/>
    <col min="11015" max="11015" width="5.83203125" style="165" customWidth="1"/>
    <col min="11016" max="11016" width="1.83203125" style="165" customWidth="1"/>
    <col min="11017" max="11017" width="5.83203125" style="165" customWidth="1"/>
    <col min="11018" max="11018" width="1.1640625" style="165" customWidth="1"/>
    <col min="11019" max="11019" width="5.83203125" style="165" customWidth="1"/>
    <col min="11020" max="11020" width="1.83203125" style="165" customWidth="1"/>
    <col min="11021" max="11264" width="5.83203125" style="165" customWidth="1"/>
    <col min="11265" max="11265" width="24.1640625" style="165" customWidth="1"/>
    <col min="11266" max="11266" width="1.1640625" style="165" customWidth="1"/>
    <col min="11267" max="11267" width="5.83203125" style="165" customWidth="1"/>
    <col min="11268" max="11268" width="1.1640625" style="165" customWidth="1"/>
    <col min="11269" max="11269" width="5.83203125" style="165" customWidth="1"/>
    <col min="11270" max="11270" width="1.83203125" style="165" customWidth="1"/>
    <col min="11271" max="11271" width="5.83203125" style="165" customWidth="1"/>
    <col min="11272" max="11272" width="1.83203125" style="165" customWidth="1"/>
    <col min="11273" max="11273" width="5.83203125" style="165" customWidth="1"/>
    <col min="11274" max="11274" width="1.1640625" style="165" customWidth="1"/>
    <col min="11275" max="11275" width="5.83203125" style="165" customWidth="1"/>
    <col min="11276" max="11276" width="1.83203125" style="165" customWidth="1"/>
    <col min="11277" max="11520" width="5.83203125" style="165" customWidth="1"/>
    <col min="11521" max="11521" width="24.1640625" style="165" customWidth="1"/>
    <col min="11522" max="11522" width="1.1640625" style="165" customWidth="1"/>
    <col min="11523" max="11523" width="5.83203125" style="165" customWidth="1"/>
    <col min="11524" max="11524" width="1.1640625" style="165" customWidth="1"/>
    <col min="11525" max="11525" width="5.83203125" style="165" customWidth="1"/>
    <col min="11526" max="11526" width="1.83203125" style="165" customWidth="1"/>
    <col min="11527" max="11527" width="5.83203125" style="165" customWidth="1"/>
    <col min="11528" max="11528" width="1.83203125" style="165" customWidth="1"/>
    <col min="11529" max="11529" width="5.83203125" style="165" customWidth="1"/>
    <col min="11530" max="11530" width="1.1640625" style="165" customWidth="1"/>
    <col min="11531" max="11531" width="5.83203125" style="165" customWidth="1"/>
    <col min="11532" max="11532" width="1.83203125" style="165" customWidth="1"/>
    <col min="11533" max="11776" width="5.83203125" style="165" customWidth="1"/>
    <col min="11777" max="11777" width="24.1640625" style="165" customWidth="1"/>
    <col min="11778" max="11778" width="1.1640625" style="165" customWidth="1"/>
    <col min="11779" max="11779" width="5.83203125" style="165" customWidth="1"/>
    <col min="11780" max="11780" width="1.1640625" style="165" customWidth="1"/>
    <col min="11781" max="11781" width="5.83203125" style="165" customWidth="1"/>
    <col min="11782" max="11782" width="1.83203125" style="165" customWidth="1"/>
    <col min="11783" max="11783" width="5.83203125" style="165" customWidth="1"/>
    <col min="11784" max="11784" width="1.83203125" style="165" customWidth="1"/>
    <col min="11785" max="11785" width="5.83203125" style="165" customWidth="1"/>
    <col min="11786" max="11786" width="1.1640625" style="165" customWidth="1"/>
    <col min="11787" max="11787" width="5.83203125" style="165" customWidth="1"/>
    <col min="11788" max="11788" width="1.83203125" style="165" customWidth="1"/>
    <col min="11789" max="12032" width="5.83203125" style="165" customWidth="1"/>
    <col min="12033" max="12033" width="24.1640625" style="165" customWidth="1"/>
    <col min="12034" max="12034" width="1.1640625" style="165" customWidth="1"/>
    <col min="12035" max="12035" width="5.83203125" style="165" customWidth="1"/>
    <col min="12036" max="12036" width="1.1640625" style="165" customWidth="1"/>
    <col min="12037" max="12037" width="5.83203125" style="165" customWidth="1"/>
    <col min="12038" max="12038" width="1.83203125" style="165" customWidth="1"/>
    <col min="12039" max="12039" width="5.83203125" style="165" customWidth="1"/>
    <col min="12040" max="12040" width="1.83203125" style="165" customWidth="1"/>
    <col min="12041" max="12041" width="5.83203125" style="165" customWidth="1"/>
    <col min="12042" max="12042" width="1.1640625" style="165" customWidth="1"/>
    <col min="12043" max="12043" width="5.83203125" style="165" customWidth="1"/>
    <col min="12044" max="12044" width="1.83203125" style="165" customWidth="1"/>
    <col min="12045" max="12288" width="5.83203125" style="165" customWidth="1"/>
    <col min="12289" max="12289" width="24.1640625" style="165" customWidth="1"/>
    <col min="12290" max="12290" width="1.1640625" style="165" customWidth="1"/>
    <col min="12291" max="12291" width="5.83203125" style="165" customWidth="1"/>
    <col min="12292" max="12292" width="1.1640625" style="165" customWidth="1"/>
    <col min="12293" max="12293" width="5.83203125" style="165" customWidth="1"/>
    <col min="12294" max="12294" width="1.83203125" style="165" customWidth="1"/>
    <col min="12295" max="12295" width="5.83203125" style="165" customWidth="1"/>
    <col min="12296" max="12296" width="1.83203125" style="165" customWidth="1"/>
    <col min="12297" max="12297" width="5.83203125" style="165" customWidth="1"/>
    <col min="12298" max="12298" width="1.1640625" style="165" customWidth="1"/>
    <col min="12299" max="12299" width="5.83203125" style="165" customWidth="1"/>
    <col min="12300" max="12300" width="1.83203125" style="165" customWidth="1"/>
    <col min="12301" max="12544" width="5.83203125" style="165" customWidth="1"/>
    <col min="12545" max="12545" width="24.1640625" style="165" customWidth="1"/>
    <col min="12546" max="12546" width="1.1640625" style="165" customWidth="1"/>
    <col min="12547" max="12547" width="5.83203125" style="165" customWidth="1"/>
    <col min="12548" max="12548" width="1.1640625" style="165" customWidth="1"/>
    <col min="12549" max="12549" width="5.83203125" style="165" customWidth="1"/>
    <col min="12550" max="12550" width="1.83203125" style="165" customWidth="1"/>
    <col min="12551" max="12551" width="5.83203125" style="165" customWidth="1"/>
    <col min="12552" max="12552" width="1.83203125" style="165" customWidth="1"/>
    <col min="12553" max="12553" width="5.83203125" style="165" customWidth="1"/>
    <col min="12554" max="12554" width="1.1640625" style="165" customWidth="1"/>
    <col min="12555" max="12555" width="5.83203125" style="165" customWidth="1"/>
    <col min="12556" max="12556" width="1.83203125" style="165" customWidth="1"/>
    <col min="12557" max="12800" width="5.83203125" style="165" customWidth="1"/>
    <col min="12801" max="12801" width="24.1640625" style="165" customWidth="1"/>
    <col min="12802" max="12802" width="1.1640625" style="165" customWidth="1"/>
    <col min="12803" max="12803" width="5.83203125" style="165" customWidth="1"/>
    <col min="12804" max="12804" width="1.1640625" style="165" customWidth="1"/>
    <col min="12805" max="12805" width="5.83203125" style="165" customWidth="1"/>
    <col min="12806" max="12806" width="1.83203125" style="165" customWidth="1"/>
    <col min="12807" max="12807" width="5.83203125" style="165" customWidth="1"/>
    <col min="12808" max="12808" width="1.83203125" style="165" customWidth="1"/>
    <col min="12809" max="12809" width="5.83203125" style="165" customWidth="1"/>
    <col min="12810" max="12810" width="1.1640625" style="165" customWidth="1"/>
    <col min="12811" max="12811" width="5.83203125" style="165" customWidth="1"/>
    <col min="12812" max="12812" width="1.83203125" style="165" customWidth="1"/>
    <col min="12813" max="13056" width="5.83203125" style="165" customWidth="1"/>
    <col min="13057" max="13057" width="24.1640625" style="165" customWidth="1"/>
    <col min="13058" max="13058" width="1.1640625" style="165" customWidth="1"/>
    <col min="13059" max="13059" width="5.83203125" style="165" customWidth="1"/>
    <col min="13060" max="13060" width="1.1640625" style="165" customWidth="1"/>
    <col min="13061" max="13061" width="5.83203125" style="165" customWidth="1"/>
    <col min="13062" max="13062" width="1.83203125" style="165" customWidth="1"/>
    <col min="13063" max="13063" width="5.83203125" style="165" customWidth="1"/>
    <col min="13064" max="13064" width="1.83203125" style="165" customWidth="1"/>
    <col min="13065" max="13065" width="5.83203125" style="165" customWidth="1"/>
    <col min="13066" max="13066" width="1.1640625" style="165" customWidth="1"/>
    <col min="13067" max="13067" width="5.83203125" style="165" customWidth="1"/>
    <col min="13068" max="13068" width="1.83203125" style="165" customWidth="1"/>
    <col min="13069" max="13312" width="5.83203125" style="165" customWidth="1"/>
    <col min="13313" max="13313" width="24.1640625" style="165" customWidth="1"/>
    <col min="13314" max="13314" width="1.1640625" style="165" customWidth="1"/>
    <col min="13315" max="13315" width="5.83203125" style="165" customWidth="1"/>
    <col min="13316" max="13316" width="1.1640625" style="165" customWidth="1"/>
    <col min="13317" max="13317" width="5.83203125" style="165" customWidth="1"/>
    <col min="13318" max="13318" width="1.83203125" style="165" customWidth="1"/>
    <col min="13319" max="13319" width="5.83203125" style="165" customWidth="1"/>
    <col min="13320" max="13320" width="1.83203125" style="165" customWidth="1"/>
    <col min="13321" max="13321" width="5.83203125" style="165" customWidth="1"/>
    <col min="13322" max="13322" width="1.1640625" style="165" customWidth="1"/>
    <col min="13323" max="13323" width="5.83203125" style="165" customWidth="1"/>
    <col min="13324" max="13324" width="1.83203125" style="165" customWidth="1"/>
    <col min="13325" max="13568" width="5.83203125" style="165" customWidth="1"/>
    <col min="13569" max="13569" width="24.1640625" style="165" customWidth="1"/>
    <col min="13570" max="13570" width="1.1640625" style="165" customWidth="1"/>
    <col min="13571" max="13571" width="5.83203125" style="165" customWidth="1"/>
    <col min="13572" max="13572" width="1.1640625" style="165" customWidth="1"/>
    <col min="13573" max="13573" width="5.83203125" style="165" customWidth="1"/>
    <col min="13574" max="13574" width="1.83203125" style="165" customWidth="1"/>
    <col min="13575" max="13575" width="5.83203125" style="165" customWidth="1"/>
    <col min="13576" max="13576" width="1.83203125" style="165" customWidth="1"/>
    <col min="13577" max="13577" width="5.83203125" style="165" customWidth="1"/>
    <col min="13578" max="13578" width="1.1640625" style="165" customWidth="1"/>
    <col min="13579" max="13579" width="5.83203125" style="165" customWidth="1"/>
    <col min="13580" max="13580" width="1.83203125" style="165" customWidth="1"/>
    <col min="13581" max="13824" width="5.83203125" style="165" customWidth="1"/>
    <col min="13825" max="13825" width="24.1640625" style="165" customWidth="1"/>
    <col min="13826" max="13826" width="1.1640625" style="165" customWidth="1"/>
    <col min="13827" max="13827" width="5.83203125" style="165" customWidth="1"/>
    <col min="13828" max="13828" width="1.1640625" style="165" customWidth="1"/>
    <col min="13829" max="13829" width="5.83203125" style="165" customWidth="1"/>
    <col min="13830" max="13830" width="1.83203125" style="165" customWidth="1"/>
    <col min="13831" max="13831" width="5.83203125" style="165" customWidth="1"/>
    <col min="13832" max="13832" width="1.83203125" style="165" customWidth="1"/>
    <col min="13833" max="13833" width="5.83203125" style="165" customWidth="1"/>
    <col min="13834" max="13834" width="1.1640625" style="165" customWidth="1"/>
    <col min="13835" max="13835" width="5.83203125" style="165" customWidth="1"/>
    <col min="13836" max="13836" width="1.83203125" style="165" customWidth="1"/>
    <col min="13837" max="14080" width="5.83203125" style="165" customWidth="1"/>
    <col min="14081" max="14081" width="24.1640625" style="165" customWidth="1"/>
    <col min="14082" max="14082" width="1.1640625" style="165" customWidth="1"/>
    <col min="14083" max="14083" width="5.83203125" style="165" customWidth="1"/>
    <col min="14084" max="14084" width="1.1640625" style="165" customWidth="1"/>
    <col min="14085" max="14085" width="5.83203125" style="165" customWidth="1"/>
    <col min="14086" max="14086" width="1.83203125" style="165" customWidth="1"/>
    <col min="14087" max="14087" width="5.83203125" style="165" customWidth="1"/>
    <col min="14088" max="14088" width="1.83203125" style="165" customWidth="1"/>
    <col min="14089" max="14089" width="5.83203125" style="165" customWidth="1"/>
    <col min="14090" max="14090" width="1.1640625" style="165" customWidth="1"/>
    <col min="14091" max="14091" width="5.83203125" style="165" customWidth="1"/>
    <col min="14092" max="14092" width="1.83203125" style="165" customWidth="1"/>
    <col min="14093" max="14336" width="5.83203125" style="165" customWidth="1"/>
    <col min="14337" max="14337" width="24.1640625" style="165" customWidth="1"/>
    <col min="14338" max="14338" width="1.1640625" style="165" customWidth="1"/>
    <col min="14339" max="14339" width="5.83203125" style="165" customWidth="1"/>
    <col min="14340" max="14340" width="1.1640625" style="165" customWidth="1"/>
    <col min="14341" max="14341" width="5.83203125" style="165" customWidth="1"/>
    <col min="14342" max="14342" width="1.83203125" style="165" customWidth="1"/>
    <col min="14343" max="14343" width="5.83203125" style="165" customWidth="1"/>
    <col min="14344" max="14344" width="1.83203125" style="165" customWidth="1"/>
    <col min="14345" max="14345" width="5.83203125" style="165" customWidth="1"/>
    <col min="14346" max="14346" width="1.1640625" style="165" customWidth="1"/>
    <col min="14347" max="14347" width="5.83203125" style="165" customWidth="1"/>
    <col min="14348" max="14348" width="1.83203125" style="165" customWidth="1"/>
    <col min="14349" max="14592" width="5.83203125" style="165" customWidth="1"/>
    <col min="14593" max="14593" width="24.1640625" style="165" customWidth="1"/>
    <col min="14594" max="14594" width="1.1640625" style="165" customWidth="1"/>
    <col min="14595" max="14595" width="5.83203125" style="165" customWidth="1"/>
    <col min="14596" max="14596" width="1.1640625" style="165" customWidth="1"/>
    <col min="14597" max="14597" width="5.83203125" style="165" customWidth="1"/>
    <col min="14598" max="14598" width="1.83203125" style="165" customWidth="1"/>
    <col min="14599" max="14599" width="5.83203125" style="165" customWidth="1"/>
    <col min="14600" max="14600" width="1.83203125" style="165" customWidth="1"/>
    <col min="14601" max="14601" width="5.83203125" style="165" customWidth="1"/>
    <col min="14602" max="14602" width="1.1640625" style="165" customWidth="1"/>
    <col min="14603" max="14603" width="5.83203125" style="165" customWidth="1"/>
    <col min="14604" max="14604" width="1.83203125" style="165" customWidth="1"/>
    <col min="14605" max="14848" width="5.83203125" style="165" customWidth="1"/>
    <col min="14849" max="14849" width="24.1640625" style="165" customWidth="1"/>
    <col min="14850" max="14850" width="1.1640625" style="165" customWidth="1"/>
    <col min="14851" max="14851" width="5.83203125" style="165" customWidth="1"/>
    <col min="14852" max="14852" width="1.1640625" style="165" customWidth="1"/>
    <col min="14853" max="14853" width="5.83203125" style="165" customWidth="1"/>
    <col min="14854" max="14854" width="1.83203125" style="165" customWidth="1"/>
    <col min="14855" max="14855" width="5.83203125" style="165" customWidth="1"/>
    <col min="14856" max="14856" width="1.83203125" style="165" customWidth="1"/>
    <col min="14857" max="14857" width="5.83203125" style="165" customWidth="1"/>
    <col min="14858" max="14858" width="1.1640625" style="165" customWidth="1"/>
    <col min="14859" max="14859" width="5.83203125" style="165" customWidth="1"/>
    <col min="14860" max="14860" width="1.83203125" style="165" customWidth="1"/>
    <col min="14861" max="15104" width="5.83203125" style="165" customWidth="1"/>
    <col min="15105" max="15105" width="24.1640625" style="165" customWidth="1"/>
    <col min="15106" max="15106" width="1.1640625" style="165" customWidth="1"/>
    <col min="15107" max="15107" width="5.83203125" style="165" customWidth="1"/>
    <col min="15108" max="15108" width="1.1640625" style="165" customWidth="1"/>
    <col min="15109" max="15109" width="5.83203125" style="165" customWidth="1"/>
    <col min="15110" max="15110" width="1.83203125" style="165" customWidth="1"/>
    <col min="15111" max="15111" width="5.83203125" style="165" customWidth="1"/>
    <col min="15112" max="15112" width="1.83203125" style="165" customWidth="1"/>
    <col min="15113" max="15113" width="5.83203125" style="165" customWidth="1"/>
    <col min="15114" max="15114" width="1.1640625" style="165" customWidth="1"/>
    <col min="15115" max="15115" width="5.83203125" style="165" customWidth="1"/>
    <col min="15116" max="15116" width="1.83203125" style="165" customWidth="1"/>
    <col min="15117" max="15360" width="5.83203125" style="165" customWidth="1"/>
    <col min="15361" max="15361" width="24.1640625" style="165" customWidth="1"/>
    <col min="15362" max="15362" width="1.1640625" style="165" customWidth="1"/>
    <col min="15363" max="15363" width="5.83203125" style="165" customWidth="1"/>
    <col min="15364" max="15364" width="1.1640625" style="165" customWidth="1"/>
    <col min="15365" max="15365" width="5.83203125" style="165" customWidth="1"/>
    <col min="15366" max="15366" width="1.83203125" style="165" customWidth="1"/>
    <col min="15367" max="15367" width="5.83203125" style="165" customWidth="1"/>
    <col min="15368" max="15368" width="1.83203125" style="165" customWidth="1"/>
    <col min="15369" max="15369" width="5.83203125" style="165" customWidth="1"/>
    <col min="15370" max="15370" width="1.1640625" style="165" customWidth="1"/>
    <col min="15371" max="15371" width="5.83203125" style="165" customWidth="1"/>
    <col min="15372" max="15372" width="1.83203125" style="165" customWidth="1"/>
    <col min="15373" max="15616" width="5.83203125" style="165" customWidth="1"/>
    <col min="15617" max="15617" width="24.1640625" style="165" customWidth="1"/>
    <col min="15618" max="15618" width="1.1640625" style="165" customWidth="1"/>
    <col min="15619" max="15619" width="5.83203125" style="165" customWidth="1"/>
    <col min="15620" max="15620" width="1.1640625" style="165" customWidth="1"/>
    <col min="15621" max="15621" width="5.83203125" style="165" customWidth="1"/>
    <col min="15622" max="15622" width="1.83203125" style="165" customWidth="1"/>
    <col min="15623" max="15623" width="5.83203125" style="165" customWidth="1"/>
    <col min="15624" max="15624" width="1.83203125" style="165" customWidth="1"/>
    <col min="15625" max="15625" width="5.83203125" style="165" customWidth="1"/>
    <col min="15626" max="15626" width="1.1640625" style="165" customWidth="1"/>
    <col min="15627" max="15627" width="5.83203125" style="165" customWidth="1"/>
    <col min="15628" max="15628" width="1.83203125" style="165" customWidth="1"/>
    <col min="15629" max="15872" width="5.83203125" style="165" customWidth="1"/>
    <col min="15873" max="15873" width="24.1640625" style="165" customWidth="1"/>
    <col min="15874" max="15874" width="1.1640625" style="165" customWidth="1"/>
    <col min="15875" max="15875" width="5.83203125" style="165" customWidth="1"/>
    <col min="15876" max="15876" width="1.1640625" style="165" customWidth="1"/>
    <col min="15877" max="15877" width="5.83203125" style="165" customWidth="1"/>
    <col min="15878" max="15878" width="1.83203125" style="165" customWidth="1"/>
    <col min="15879" max="15879" width="5.83203125" style="165" customWidth="1"/>
    <col min="15880" max="15880" width="1.83203125" style="165" customWidth="1"/>
    <col min="15881" max="15881" width="5.83203125" style="165" customWidth="1"/>
    <col min="15882" max="15882" width="1.1640625" style="165" customWidth="1"/>
    <col min="15883" max="15883" width="5.83203125" style="165" customWidth="1"/>
    <col min="15884" max="15884" width="1.83203125" style="165" customWidth="1"/>
    <col min="15885" max="16128" width="5.83203125" style="165" customWidth="1"/>
    <col min="16129" max="16129" width="24.1640625" style="165" customWidth="1"/>
    <col min="16130" max="16130" width="1.1640625" style="165" customWidth="1"/>
    <col min="16131" max="16131" width="5.83203125" style="165" customWidth="1"/>
    <col min="16132" max="16132" width="1.1640625" style="165" customWidth="1"/>
    <col min="16133" max="16133" width="5.83203125" style="165" customWidth="1"/>
    <col min="16134" max="16134" width="1.83203125" style="165" customWidth="1"/>
    <col min="16135" max="16135" width="5.83203125" style="165" customWidth="1"/>
    <col min="16136" max="16136" width="1.83203125" style="165" customWidth="1"/>
    <col min="16137" max="16137" width="5.83203125" style="165" customWidth="1"/>
    <col min="16138" max="16138" width="1.1640625" style="165" customWidth="1"/>
    <col min="16139" max="16139" width="5.83203125" style="165" customWidth="1"/>
    <col min="16140" max="16140" width="1.83203125" style="165" customWidth="1"/>
    <col min="16141" max="16384" width="5.83203125" style="165" customWidth="1"/>
  </cols>
  <sheetData>
    <row r="1" spans="1:12" ht="11.25" customHeight="1">
      <c r="A1" s="402" t="s">
        <v>365</v>
      </c>
      <c r="B1" s="403"/>
      <c r="C1" s="403"/>
      <c r="D1" s="403"/>
      <c r="E1" s="403"/>
      <c r="F1" s="403"/>
      <c r="G1" s="403"/>
      <c r="H1" s="403"/>
      <c r="I1" s="403"/>
      <c r="J1" s="403"/>
      <c r="K1" s="403"/>
      <c r="L1" s="403"/>
    </row>
    <row r="2" spans="1:12" ht="11.25" customHeight="1">
      <c r="A2" s="402" t="s">
        <v>366</v>
      </c>
      <c r="B2" s="403"/>
      <c r="C2" s="403"/>
      <c r="D2" s="403"/>
      <c r="E2" s="403"/>
      <c r="F2" s="403"/>
      <c r="G2" s="403"/>
      <c r="H2" s="403"/>
      <c r="I2" s="403"/>
      <c r="J2" s="403"/>
      <c r="K2" s="403"/>
      <c r="L2" s="403"/>
    </row>
    <row r="3" spans="1:12" ht="11.25" customHeight="1">
      <c r="A3" s="404"/>
      <c r="B3" s="405"/>
      <c r="C3" s="405"/>
      <c r="D3" s="405"/>
      <c r="E3" s="405"/>
      <c r="F3" s="405"/>
      <c r="G3" s="405"/>
      <c r="H3" s="405"/>
      <c r="I3" s="405"/>
      <c r="J3" s="405"/>
      <c r="K3" s="405"/>
      <c r="L3" s="405"/>
    </row>
    <row r="4" spans="1:12" ht="11.25" customHeight="1">
      <c r="A4" s="402" t="s">
        <v>0</v>
      </c>
      <c r="B4" s="403"/>
      <c r="C4" s="403"/>
      <c r="D4" s="403"/>
      <c r="E4" s="403"/>
      <c r="F4" s="403"/>
      <c r="G4" s="403"/>
      <c r="H4" s="403"/>
      <c r="I4" s="403"/>
      <c r="J4" s="403"/>
      <c r="K4" s="403"/>
      <c r="L4" s="403"/>
    </row>
    <row r="5" spans="1:12" ht="11.25" customHeight="1">
      <c r="A5" s="406"/>
      <c r="B5" s="406"/>
      <c r="C5" s="406"/>
      <c r="D5" s="406"/>
      <c r="E5" s="406"/>
      <c r="F5" s="406"/>
      <c r="G5" s="406"/>
      <c r="H5" s="406"/>
      <c r="I5" s="406"/>
      <c r="J5" s="406"/>
      <c r="K5" s="406"/>
      <c r="L5" s="406"/>
    </row>
    <row r="6" spans="1:12" ht="12.25" customHeight="1">
      <c r="A6" s="167" t="s">
        <v>367</v>
      </c>
      <c r="B6" s="168"/>
      <c r="C6" s="169" t="s">
        <v>74</v>
      </c>
      <c r="D6" s="170"/>
      <c r="E6" s="171" t="s">
        <v>75</v>
      </c>
      <c r="F6" s="170"/>
      <c r="G6" s="169" t="s">
        <v>76</v>
      </c>
      <c r="H6" s="170"/>
      <c r="I6" s="169" t="s">
        <v>77</v>
      </c>
      <c r="J6" s="170"/>
      <c r="K6" s="171" t="s">
        <v>368</v>
      </c>
      <c r="L6" s="170"/>
    </row>
    <row r="7" spans="1:12" ht="11.25" customHeight="1">
      <c r="A7" s="167" t="s">
        <v>369</v>
      </c>
      <c r="B7" s="172"/>
      <c r="C7" s="173">
        <v>1300</v>
      </c>
      <c r="D7" s="174"/>
      <c r="E7" s="173">
        <v>994</v>
      </c>
      <c r="F7" s="175">
        <v>6</v>
      </c>
      <c r="G7" s="173">
        <v>952</v>
      </c>
      <c r="H7" s="175"/>
      <c r="I7" s="173">
        <v>1100</v>
      </c>
      <c r="J7" s="174"/>
      <c r="K7" s="173">
        <v>1200</v>
      </c>
      <c r="L7" s="174"/>
    </row>
    <row r="8" spans="1:12" ht="11.25" customHeight="1">
      <c r="A8" s="167" t="s">
        <v>258</v>
      </c>
      <c r="B8" s="172"/>
      <c r="C8" s="173">
        <f>C9+C10</f>
        <v>4138.6000000000004</v>
      </c>
      <c r="D8" s="173"/>
      <c r="E8" s="173">
        <f t="shared" ref="E8:K8" si="0">E9+E10</f>
        <v>4147.5</v>
      </c>
      <c r="F8" s="173"/>
      <c r="G8" s="173">
        <f t="shared" si="0"/>
        <v>4468.5</v>
      </c>
      <c r="H8" s="173"/>
      <c r="I8" s="173">
        <f t="shared" si="0"/>
        <v>4428</v>
      </c>
      <c r="J8" s="173"/>
      <c r="K8" s="173">
        <f t="shared" si="0"/>
        <v>4403</v>
      </c>
      <c r="L8" s="175"/>
    </row>
    <row r="9" spans="1:12" ht="11.25" customHeight="1">
      <c r="A9" s="167" t="s">
        <v>370</v>
      </c>
      <c r="B9" s="172"/>
      <c r="C9" s="173">
        <v>2402.1999999999998</v>
      </c>
      <c r="D9" s="177"/>
      <c r="E9" s="173">
        <v>2392.1999999999998</v>
      </c>
      <c r="F9" s="177"/>
      <c r="G9" s="173">
        <v>2645.6</v>
      </c>
      <c r="H9" s="175"/>
      <c r="I9" s="173">
        <v>2481</v>
      </c>
      <c r="J9" s="178" t="s">
        <v>8</v>
      </c>
      <c r="K9" s="173">
        <v>2593</v>
      </c>
      <c r="L9" s="178" t="s">
        <v>82</v>
      </c>
    </row>
    <row r="10" spans="1:12" ht="11.25" customHeight="1">
      <c r="A10" s="167" t="s">
        <v>371</v>
      </c>
      <c r="B10" s="172"/>
      <c r="C10" s="173">
        <v>1736.4</v>
      </c>
      <c r="D10" s="177"/>
      <c r="E10" s="173">
        <v>1755.3</v>
      </c>
      <c r="F10" s="177"/>
      <c r="G10" s="173">
        <v>1822.9</v>
      </c>
      <c r="H10" s="178" t="s">
        <v>8</v>
      </c>
      <c r="I10" s="173">
        <v>1947</v>
      </c>
      <c r="J10" s="178" t="s">
        <v>8</v>
      </c>
      <c r="K10" s="173">
        <v>1810</v>
      </c>
      <c r="L10" s="178" t="s">
        <v>82</v>
      </c>
    </row>
    <row r="11" spans="1:12" ht="11.25" customHeight="1">
      <c r="A11" s="167" t="s">
        <v>10</v>
      </c>
      <c r="B11" s="172"/>
      <c r="C11" s="173">
        <v>6116</v>
      </c>
      <c r="D11" s="175"/>
      <c r="E11" s="173">
        <v>5735</v>
      </c>
      <c r="F11" s="175"/>
      <c r="G11" s="173">
        <v>6203</v>
      </c>
      <c r="H11" s="175" t="s">
        <v>8</v>
      </c>
      <c r="I11" s="173">
        <v>6276</v>
      </c>
      <c r="J11" s="178" t="s">
        <v>8</v>
      </c>
      <c r="K11" s="173">
        <v>6369</v>
      </c>
      <c r="L11" s="178" t="s">
        <v>78</v>
      </c>
    </row>
    <row r="12" spans="1:12" ht="11.25" customHeight="1">
      <c r="A12" s="167" t="s">
        <v>11</v>
      </c>
      <c r="B12" s="172"/>
      <c r="C12" s="173">
        <v>4677</v>
      </c>
      <c r="D12" s="179" t="s">
        <v>8</v>
      </c>
      <c r="E12" s="173">
        <v>4847</v>
      </c>
      <c r="F12" s="179" t="s">
        <v>8</v>
      </c>
      <c r="G12" s="173">
        <v>5444</v>
      </c>
      <c r="H12" s="178" t="s">
        <v>8</v>
      </c>
      <c r="I12" s="173">
        <v>5547</v>
      </c>
      <c r="J12" s="178" t="s">
        <v>8</v>
      </c>
      <c r="K12" s="173">
        <v>5907</v>
      </c>
      <c r="L12" s="178" t="s">
        <v>78</v>
      </c>
    </row>
    <row r="13" spans="1:12" ht="11.25" customHeight="1">
      <c r="A13" s="167" t="s">
        <v>261</v>
      </c>
      <c r="B13" s="172"/>
      <c r="C13" s="173">
        <v>7813</v>
      </c>
      <c r="D13" s="178" t="s">
        <v>8</v>
      </c>
      <c r="E13" s="173">
        <v>8224</v>
      </c>
      <c r="F13" s="179" t="s">
        <v>8</v>
      </c>
      <c r="G13" s="173">
        <v>7254</v>
      </c>
      <c r="H13" s="179" t="s">
        <v>8</v>
      </c>
      <c r="I13" s="173">
        <v>7516</v>
      </c>
      <c r="J13" s="179" t="s">
        <v>8</v>
      </c>
      <c r="K13" s="173">
        <v>6576</v>
      </c>
      <c r="L13" s="179" t="s">
        <v>78</v>
      </c>
    </row>
    <row r="14" spans="1:12" ht="11.25" customHeight="1">
      <c r="A14" s="167" t="s">
        <v>372</v>
      </c>
      <c r="B14" s="172"/>
      <c r="C14" s="173">
        <v>60</v>
      </c>
      <c r="D14" s="177"/>
      <c r="E14" s="173">
        <v>60</v>
      </c>
      <c r="F14" s="177"/>
      <c r="G14" s="173">
        <v>60</v>
      </c>
      <c r="H14" s="179" t="s">
        <v>8</v>
      </c>
      <c r="I14" s="173">
        <v>60</v>
      </c>
      <c r="J14" s="179" t="s">
        <v>8</v>
      </c>
      <c r="K14" s="173">
        <v>60</v>
      </c>
      <c r="L14" s="174"/>
    </row>
    <row r="15" spans="1:12" ht="11.25" customHeight="1">
      <c r="A15" s="167" t="s">
        <v>196</v>
      </c>
      <c r="B15" s="172"/>
      <c r="C15" s="173">
        <f>C16+C17</f>
        <v>32446</v>
      </c>
      <c r="D15" s="173"/>
      <c r="E15" s="173">
        <f t="shared" ref="E15:K15" si="1">E16+E17</f>
        <v>35019</v>
      </c>
      <c r="F15" s="173"/>
      <c r="G15" s="173">
        <f t="shared" si="1"/>
        <v>34793</v>
      </c>
      <c r="H15" s="173"/>
      <c r="I15" s="173">
        <f t="shared" si="1"/>
        <v>35395</v>
      </c>
      <c r="J15" s="173"/>
      <c r="K15" s="173">
        <f t="shared" si="1"/>
        <v>35920</v>
      </c>
      <c r="L15" s="173"/>
    </row>
    <row r="16" spans="1:12" ht="11.25" customHeight="1">
      <c r="A16" s="167" t="s">
        <v>373</v>
      </c>
      <c r="B16" s="172"/>
      <c r="C16" s="173">
        <v>32036</v>
      </c>
      <c r="D16" s="177"/>
      <c r="E16" s="173">
        <v>34579</v>
      </c>
      <c r="F16" s="177"/>
      <c r="G16" s="173">
        <v>34382</v>
      </c>
      <c r="H16" s="177"/>
      <c r="I16" s="173">
        <v>34975</v>
      </c>
      <c r="J16" s="179" t="s">
        <v>8</v>
      </c>
      <c r="K16" s="173">
        <v>35500</v>
      </c>
      <c r="L16" s="179" t="s">
        <v>78</v>
      </c>
    </row>
    <row r="17" spans="1:12" ht="11.25" customHeight="1">
      <c r="A17" s="167" t="s">
        <v>374</v>
      </c>
      <c r="B17" s="172"/>
      <c r="C17" s="173">
        <v>410</v>
      </c>
      <c r="D17" s="175"/>
      <c r="E17" s="173">
        <v>440</v>
      </c>
      <c r="F17" s="174"/>
      <c r="G17" s="173">
        <v>411</v>
      </c>
      <c r="H17" s="174"/>
      <c r="I17" s="173">
        <v>420</v>
      </c>
      <c r="J17" s="177"/>
      <c r="K17" s="173">
        <v>420</v>
      </c>
      <c r="L17" s="177"/>
    </row>
    <row r="18" spans="1:12" ht="11.25" customHeight="1">
      <c r="A18" s="167" t="s">
        <v>16</v>
      </c>
      <c r="B18" s="172"/>
      <c r="C18" s="173">
        <v>1386</v>
      </c>
      <c r="D18" s="174"/>
      <c r="E18" s="173">
        <v>1158</v>
      </c>
      <c r="F18" s="177"/>
      <c r="G18" s="173">
        <v>1081</v>
      </c>
      <c r="H18" s="175"/>
      <c r="I18" s="173">
        <v>1147</v>
      </c>
      <c r="J18" s="179" t="s">
        <v>8</v>
      </c>
      <c r="K18" s="173">
        <v>1069</v>
      </c>
      <c r="L18" s="179" t="s">
        <v>78</v>
      </c>
    </row>
    <row r="19" spans="1:12" ht="11.25" customHeight="1">
      <c r="A19" s="167" t="s">
        <v>375</v>
      </c>
      <c r="B19" s="172"/>
      <c r="C19" s="173">
        <v>40</v>
      </c>
      <c r="D19" s="174"/>
      <c r="E19" s="173">
        <v>40</v>
      </c>
      <c r="F19" s="174"/>
      <c r="G19" s="173">
        <v>40</v>
      </c>
      <c r="H19" s="174"/>
      <c r="I19" s="173">
        <v>40</v>
      </c>
      <c r="J19" s="174"/>
      <c r="K19" s="173">
        <v>40</v>
      </c>
      <c r="L19" s="174"/>
    </row>
    <row r="20" spans="1:12" ht="11.25" customHeight="1">
      <c r="A20" s="167" t="s">
        <v>376</v>
      </c>
      <c r="B20" s="172"/>
      <c r="C20" s="180" t="s">
        <v>12</v>
      </c>
      <c r="D20" s="179" t="s">
        <v>8</v>
      </c>
      <c r="E20" s="180" t="s">
        <v>12</v>
      </c>
      <c r="F20" s="179" t="s">
        <v>8</v>
      </c>
      <c r="G20" s="180" t="s">
        <v>12</v>
      </c>
      <c r="H20" s="179" t="s">
        <v>8</v>
      </c>
      <c r="I20" s="180" t="s">
        <v>12</v>
      </c>
      <c r="J20" s="179" t="s">
        <v>8</v>
      </c>
      <c r="K20" s="180" t="s">
        <v>12</v>
      </c>
      <c r="L20" s="174"/>
    </row>
    <row r="21" spans="1:12" ht="11.25" customHeight="1">
      <c r="A21" s="167" t="s">
        <v>377</v>
      </c>
      <c r="B21" s="172"/>
      <c r="C21" s="173">
        <v>40</v>
      </c>
      <c r="D21" s="174"/>
      <c r="E21" s="173">
        <v>40</v>
      </c>
      <c r="F21" s="174"/>
      <c r="G21" s="173">
        <v>40</v>
      </c>
      <c r="H21" s="174"/>
      <c r="I21" s="173">
        <v>40</v>
      </c>
      <c r="J21" s="174"/>
      <c r="K21" s="173">
        <v>40</v>
      </c>
      <c r="L21" s="174"/>
    </row>
    <row r="22" spans="1:12" ht="11.25" customHeight="1">
      <c r="A22" s="167" t="s">
        <v>197</v>
      </c>
      <c r="B22" s="172"/>
      <c r="C22" s="173">
        <f>C23+C24</f>
        <v>9058</v>
      </c>
      <c r="D22" s="173"/>
      <c r="E22" s="173">
        <f t="shared" ref="E22:K22" si="2">E23+E24</f>
        <v>9919</v>
      </c>
      <c r="F22" s="173"/>
      <c r="G22" s="173">
        <f t="shared" si="2"/>
        <v>8865</v>
      </c>
      <c r="H22" s="173"/>
      <c r="I22" s="173">
        <f t="shared" si="2"/>
        <v>8751</v>
      </c>
      <c r="J22" s="173"/>
      <c r="K22" s="173">
        <f t="shared" si="2"/>
        <v>9487</v>
      </c>
      <c r="L22" s="177"/>
    </row>
    <row r="23" spans="1:12" ht="11.25" customHeight="1">
      <c r="A23" s="167" t="s">
        <v>378</v>
      </c>
      <c r="B23" s="172"/>
      <c r="C23" s="173">
        <v>8554</v>
      </c>
      <c r="D23" s="179" t="s">
        <v>8</v>
      </c>
      <c r="E23" s="173">
        <v>8828</v>
      </c>
      <c r="F23" s="179" t="s">
        <v>8</v>
      </c>
      <c r="G23" s="173">
        <v>8274</v>
      </c>
      <c r="H23" s="179" t="s">
        <v>8</v>
      </c>
      <c r="I23" s="173">
        <v>8305</v>
      </c>
      <c r="J23" s="179" t="s">
        <v>8</v>
      </c>
      <c r="K23" s="173">
        <v>8577</v>
      </c>
      <c r="L23" s="179" t="s">
        <v>78</v>
      </c>
    </row>
    <row r="24" spans="1:12" ht="11.25" customHeight="1">
      <c r="A24" s="167" t="s">
        <v>371</v>
      </c>
      <c r="B24" s="172"/>
      <c r="C24" s="173">
        <v>504</v>
      </c>
      <c r="D24" s="179" t="s">
        <v>8</v>
      </c>
      <c r="E24" s="173">
        <v>1091</v>
      </c>
      <c r="F24" s="179" t="s">
        <v>8</v>
      </c>
      <c r="G24" s="173">
        <v>591</v>
      </c>
      <c r="H24" s="178" t="s">
        <v>8</v>
      </c>
      <c r="I24" s="173">
        <v>446</v>
      </c>
      <c r="J24" s="178" t="s">
        <v>8</v>
      </c>
      <c r="K24" s="173">
        <v>910</v>
      </c>
      <c r="L24" s="178" t="s">
        <v>78</v>
      </c>
    </row>
    <row r="25" spans="1:12" ht="11.25" customHeight="1">
      <c r="A25" s="167" t="s">
        <v>18</v>
      </c>
      <c r="B25" s="172"/>
      <c r="C25" s="173">
        <v>987.86900000000003</v>
      </c>
      <c r="D25" s="176"/>
      <c r="E25" s="173">
        <v>1137</v>
      </c>
      <c r="F25" s="177"/>
      <c r="G25" s="173">
        <v>1074</v>
      </c>
      <c r="H25" s="175"/>
      <c r="I25" s="173">
        <v>1115</v>
      </c>
      <c r="J25" s="178" t="s">
        <v>8</v>
      </c>
      <c r="K25" s="173">
        <v>1135</v>
      </c>
      <c r="L25" s="178" t="s">
        <v>82</v>
      </c>
    </row>
    <row r="26" spans="1:12" ht="11.25" customHeight="1">
      <c r="A26" s="167" t="s">
        <v>379</v>
      </c>
      <c r="B26" s="172"/>
      <c r="C26" s="173">
        <v>213660</v>
      </c>
      <c r="D26" s="176"/>
      <c r="E26" s="173">
        <v>251850</v>
      </c>
      <c r="F26" s="176"/>
      <c r="G26" s="173">
        <v>343750</v>
      </c>
      <c r="H26" s="175"/>
      <c r="I26" s="173">
        <v>412450</v>
      </c>
      <c r="J26" s="178" t="s">
        <v>8</v>
      </c>
      <c r="K26" s="173">
        <v>469440</v>
      </c>
      <c r="L26" s="175">
        <v>6</v>
      </c>
    </row>
    <row r="27" spans="1:12" ht="11.25" customHeight="1">
      <c r="A27" s="167" t="s">
        <v>20</v>
      </c>
      <c r="B27" s="172"/>
      <c r="C27" s="173">
        <v>288.214</v>
      </c>
      <c r="D27" s="177"/>
      <c r="E27" s="173">
        <v>316.02499999999998</v>
      </c>
      <c r="F27" s="177"/>
      <c r="G27" s="173">
        <v>325</v>
      </c>
      <c r="H27" s="178" t="s">
        <v>8</v>
      </c>
      <c r="I27" s="173">
        <v>360</v>
      </c>
      <c r="J27" s="178" t="s">
        <v>8</v>
      </c>
      <c r="K27" s="173">
        <v>350</v>
      </c>
      <c r="L27" s="176"/>
    </row>
    <row r="28" spans="1:12" ht="11.25" customHeight="1">
      <c r="A28" s="167" t="s">
        <v>264</v>
      </c>
      <c r="B28" s="172"/>
      <c r="C28" s="173">
        <v>5207</v>
      </c>
      <c r="D28" s="174"/>
      <c r="E28" s="173">
        <v>5384</v>
      </c>
      <c r="F28" s="177"/>
      <c r="G28" s="173">
        <v>4627</v>
      </c>
      <c r="H28" s="175"/>
      <c r="I28" s="173">
        <v>5191</v>
      </c>
      <c r="J28" s="178" t="s">
        <v>8</v>
      </c>
      <c r="K28" s="173">
        <v>5300</v>
      </c>
      <c r="L28" s="179" t="s">
        <v>78</v>
      </c>
    </row>
    <row r="29" spans="1:12" ht="11.25" customHeight="1">
      <c r="A29" s="167" t="s">
        <v>198</v>
      </c>
      <c r="B29" s="172"/>
      <c r="C29" s="173">
        <f>C30+C31</f>
        <v>3950</v>
      </c>
      <c r="D29" s="173"/>
      <c r="E29" s="173">
        <f t="shared" ref="E29:K29" si="3">E30+E31</f>
        <v>3800</v>
      </c>
      <c r="F29" s="173"/>
      <c r="G29" s="173">
        <f t="shared" si="3"/>
        <v>3900</v>
      </c>
      <c r="H29" s="173"/>
      <c r="I29" s="173">
        <f t="shared" si="3"/>
        <v>3900</v>
      </c>
      <c r="J29" s="173"/>
      <c r="K29" s="173">
        <f t="shared" si="3"/>
        <v>3800</v>
      </c>
      <c r="L29" s="176"/>
    </row>
    <row r="30" spans="1:12" ht="11.25" customHeight="1">
      <c r="A30" s="167" t="s">
        <v>378</v>
      </c>
      <c r="B30" s="172"/>
      <c r="C30" s="173">
        <v>1080</v>
      </c>
      <c r="D30" s="178" t="s">
        <v>8</v>
      </c>
      <c r="E30" s="173">
        <v>1000</v>
      </c>
      <c r="F30" s="178" t="s">
        <v>8</v>
      </c>
      <c r="G30" s="173">
        <v>1100</v>
      </c>
      <c r="H30" s="178" t="s">
        <v>8</v>
      </c>
      <c r="I30" s="173">
        <v>1100</v>
      </c>
      <c r="J30" s="178" t="s">
        <v>8</v>
      </c>
      <c r="K30" s="173">
        <v>1000</v>
      </c>
      <c r="L30" s="176"/>
    </row>
    <row r="31" spans="1:12" ht="11.25" customHeight="1">
      <c r="A31" s="167" t="s">
        <v>380</v>
      </c>
      <c r="B31" s="172"/>
      <c r="C31" s="173">
        <v>2870</v>
      </c>
      <c r="D31" s="178" t="s">
        <v>78</v>
      </c>
      <c r="E31" s="173">
        <v>2800</v>
      </c>
      <c r="F31" s="177"/>
      <c r="G31" s="173">
        <v>2800</v>
      </c>
      <c r="H31" s="177"/>
      <c r="I31" s="173">
        <v>2800</v>
      </c>
      <c r="J31" s="176"/>
      <c r="K31" s="173">
        <v>2800</v>
      </c>
      <c r="L31" s="176"/>
    </row>
    <row r="32" spans="1:12" ht="11.25" customHeight="1">
      <c r="A32" s="167" t="s">
        <v>267</v>
      </c>
      <c r="B32" s="172"/>
      <c r="C32" s="173">
        <v>3092</v>
      </c>
      <c r="D32" s="179" t="s">
        <v>8</v>
      </c>
      <c r="E32" s="173">
        <v>3037</v>
      </c>
      <c r="F32" s="179" t="s">
        <v>8</v>
      </c>
      <c r="G32" s="173">
        <v>3056</v>
      </c>
      <c r="H32" s="179" t="s">
        <v>8</v>
      </c>
      <c r="I32" s="173">
        <v>3158</v>
      </c>
      <c r="J32" s="178" t="s">
        <v>8</v>
      </c>
      <c r="K32" s="173">
        <v>2914</v>
      </c>
      <c r="L32" s="178" t="s">
        <v>78</v>
      </c>
    </row>
    <row r="33" spans="1:12" ht="11.25" customHeight="1">
      <c r="A33" s="167" t="s">
        <v>268</v>
      </c>
      <c r="B33" s="172"/>
      <c r="C33" s="173">
        <v>12756</v>
      </c>
      <c r="D33" s="176"/>
      <c r="E33" s="173">
        <v>13198</v>
      </c>
      <c r="F33" s="175"/>
      <c r="G33" s="173">
        <v>12705</v>
      </c>
      <c r="H33" s="175"/>
      <c r="I33" s="173">
        <v>13013</v>
      </c>
      <c r="J33" s="175"/>
      <c r="K33" s="173">
        <v>12426</v>
      </c>
      <c r="L33" s="178" t="s">
        <v>78</v>
      </c>
    </row>
    <row r="34" spans="1:12" ht="11.25" customHeight="1">
      <c r="A34" s="167" t="s">
        <v>199</v>
      </c>
      <c r="B34" s="172"/>
      <c r="C34" s="173">
        <f>C35+C36</f>
        <v>30071</v>
      </c>
      <c r="D34" s="173"/>
      <c r="E34" s="173">
        <f t="shared" ref="E34:K34" si="4">E35+E36</f>
        <v>30611</v>
      </c>
      <c r="F34" s="173"/>
      <c r="G34" s="173">
        <f t="shared" si="4"/>
        <v>29294</v>
      </c>
      <c r="H34" s="173"/>
      <c r="I34" s="173">
        <f t="shared" si="4"/>
        <v>30940</v>
      </c>
      <c r="J34" s="173"/>
      <c r="K34" s="173">
        <f t="shared" si="4"/>
        <v>31740</v>
      </c>
      <c r="L34" s="173"/>
    </row>
    <row r="35" spans="1:12" ht="11.25" customHeight="1">
      <c r="A35" s="167" t="s">
        <v>373</v>
      </c>
      <c r="B35" s="172"/>
      <c r="C35" s="173">
        <v>29481</v>
      </c>
      <c r="D35" s="176"/>
      <c r="E35" s="173">
        <v>30018</v>
      </c>
      <c r="F35" s="176"/>
      <c r="G35" s="173">
        <v>28854</v>
      </c>
      <c r="H35" s="175"/>
      <c r="I35" s="173">
        <v>30360</v>
      </c>
      <c r="J35" s="175"/>
      <c r="K35" s="173">
        <v>31150</v>
      </c>
      <c r="L35" s="178" t="s">
        <v>78</v>
      </c>
    </row>
    <row r="36" spans="1:12" ht="11.25" customHeight="1">
      <c r="A36" s="167" t="s">
        <v>374</v>
      </c>
      <c r="B36" s="172"/>
      <c r="C36" s="173">
        <v>590</v>
      </c>
      <c r="D36" s="177"/>
      <c r="E36" s="173">
        <v>593</v>
      </c>
      <c r="F36" s="179" t="s">
        <v>8</v>
      </c>
      <c r="G36" s="173">
        <v>440</v>
      </c>
      <c r="H36" s="175"/>
      <c r="I36" s="173">
        <v>580</v>
      </c>
      <c r="J36" s="175"/>
      <c r="K36" s="173">
        <v>590</v>
      </c>
      <c r="L36" s="178" t="s">
        <v>82</v>
      </c>
    </row>
    <row r="37" spans="1:12" ht="11.25" customHeight="1">
      <c r="A37" s="167" t="s">
        <v>270</v>
      </c>
      <c r="B37" s="172"/>
      <c r="C37" s="173">
        <v>1333</v>
      </c>
      <c r="D37" s="176"/>
      <c r="E37" s="173">
        <v>1351</v>
      </c>
      <c r="F37" s="177"/>
      <c r="G37" s="173">
        <v>1329</v>
      </c>
      <c r="H37" s="179" t="s">
        <v>8</v>
      </c>
      <c r="I37" s="173">
        <v>1335</v>
      </c>
      <c r="J37" s="175"/>
      <c r="K37" s="173">
        <v>1394</v>
      </c>
      <c r="L37" s="178" t="s">
        <v>78</v>
      </c>
    </row>
    <row r="38" spans="1:12" ht="11.25" customHeight="1">
      <c r="A38" s="167" t="s">
        <v>200</v>
      </c>
      <c r="B38" s="172"/>
      <c r="C38" s="173">
        <f>C39+C40</f>
        <v>34220</v>
      </c>
      <c r="D38" s="173"/>
      <c r="E38" s="173">
        <f t="shared" ref="E38:K38" si="5">E39+E40</f>
        <v>34487</v>
      </c>
      <c r="F38" s="173"/>
      <c r="G38" s="173">
        <f t="shared" si="5"/>
        <v>39165</v>
      </c>
      <c r="H38" s="173"/>
      <c r="I38" s="173">
        <f t="shared" si="5"/>
        <v>43040</v>
      </c>
      <c r="J38" s="173"/>
      <c r="K38" s="173">
        <f t="shared" si="5"/>
        <v>46900</v>
      </c>
      <c r="L38" s="176"/>
    </row>
    <row r="39" spans="1:12" ht="11.25" customHeight="1">
      <c r="A39" s="167" t="s">
        <v>381</v>
      </c>
      <c r="B39" s="172"/>
      <c r="C39" s="173">
        <v>26550</v>
      </c>
      <c r="D39" s="179" t="s">
        <v>8</v>
      </c>
      <c r="E39" s="173">
        <v>25117</v>
      </c>
      <c r="F39" s="179" t="s">
        <v>8</v>
      </c>
      <c r="G39" s="173">
        <v>27125</v>
      </c>
      <c r="H39" s="179" t="s">
        <v>8</v>
      </c>
      <c r="I39" s="173">
        <v>28300</v>
      </c>
      <c r="J39" s="178" t="s">
        <v>8</v>
      </c>
      <c r="K39" s="173">
        <v>28800</v>
      </c>
      <c r="L39" s="176"/>
    </row>
    <row r="40" spans="1:12" ht="11.25" customHeight="1">
      <c r="A40" s="167" t="s">
        <v>382</v>
      </c>
      <c r="B40" s="172"/>
      <c r="C40" s="173">
        <v>7670</v>
      </c>
      <c r="D40" s="175"/>
      <c r="E40" s="173">
        <v>9370</v>
      </c>
      <c r="F40" s="175"/>
      <c r="G40" s="173">
        <v>12040</v>
      </c>
      <c r="H40" s="175"/>
      <c r="I40" s="173">
        <v>14740</v>
      </c>
      <c r="J40" s="175"/>
      <c r="K40" s="173">
        <v>18100</v>
      </c>
      <c r="L40" s="175">
        <v>6</v>
      </c>
    </row>
    <row r="41" spans="1:12" ht="11.25" customHeight="1">
      <c r="A41" s="167" t="s">
        <v>383</v>
      </c>
      <c r="B41" s="172"/>
      <c r="C41" s="173">
        <v>1230</v>
      </c>
      <c r="D41" s="177"/>
      <c r="E41" s="173">
        <v>1470</v>
      </c>
      <c r="F41" s="177"/>
      <c r="G41" s="173">
        <v>1390</v>
      </c>
      <c r="H41" s="175"/>
      <c r="I41" s="173">
        <v>1290</v>
      </c>
      <c r="J41" s="178" t="s">
        <v>78</v>
      </c>
      <c r="K41" s="173">
        <v>1400</v>
      </c>
      <c r="L41" s="175"/>
    </row>
    <row r="42" spans="1:12" ht="11.25" customHeight="1">
      <c r="A42" s="167" t="s">
        <v>202</v>
      </c>
      <c r="B42" s="172"/>
      <c r="C42" s="173">
        <f>C43+C44</f>
        <v>8329</v>
      </c>
      <c r="D42" s="173"/>
      <c r="E42" s="173">
        <f t="shared" ref="E42:K42" si="6">E43+E44</f>
        <v>8546</v>
      </c>
      <c r="F42" s="173"/>
      <c r="G42" s="173">
        <f t="shared" si="6"/>
        <v>9150</v>
      </c>
      <c r="H42" s="173"/>
      <c r="I42" s="173">
        <f t="shared" si="6"/>
        <v>8891</v>
      </c>
      <c r="J42" s="173"/>
      <c r="K42" s="173">
        <f t="shared" si="6"/>
        <v>9618</v>
      </c>
      <c r="L42" s="176"/>
    </row>
    <row r="43" spans="1:12" ht="11.25" customHeight="1">
      <c r="A43" s="167" t="s">
        <v>381</v>
      </c>
      <c r="B43" s="172"/>
      <c r="C43" s="173">
        <v>2709</v>
      </c>
      <c r="D43" s="175"/>
      <c r="E43" s="173">
        <v>2136</v>
      </c>
      <c r="F43" s="175"/>
      <c r="G43" s="173">
        <v>2300</v>
      </c>
      <c r="H43" s="176"/>
      <c r="I43" s="173">
        <v>2041</v>
      </c>
      <c r="J43" s="178" t="s">
        <v>8</v>
      </c>
      <c r="K43" s="173">
        <v>2118</v>
      </c>
      <c r="L43" s="178" t="s">
        <v>78</v>
      </c>
    </row>
    <row r="44" spans="1:12" ht="11.25" customHeight="1">
      <c r="A44" s="167" t="s">
        <v>384</v>
      </c>
      <c r="B44" s="172"/>
      <c r="C44" s="173">
        <v>5620</v>
      </c>
      <c r="D44" s="177"/>
      <c r="E44" s="173">
        <v>6410</v>
      </c>
      <c r="F44" s="177"/>
      <c r="G44" s="173">
        <v>6850</v>
      </c>
      <c r="H44" s="175"/>
      <c r="I44" s="173">
        <v>6850</v>
      </c>
      <c r="J44" s="175"/>
      <c r="K44" s="173">
        <v>7500</v>
      </c>
      <c r="L44" s="175"/>
    </row>
    <row r="45" spans="1:12" ht="11.25" customHeight="1">
      <c r="A45" s="167" t="s">
        <v>272</v>
      </c>
      <c r="B45" s="172"/>
      <c r="C45" s="173">
        <v>10604</v>
      </c>
      <c r="D45" s="175" t="s">
        <v>8</v>
      </c>
      <c r="E45" s="173">
        <v>10664</v>
      </c>
      <c r="F45" s="175" t="s">
        <v>8</v>
      </c>
      <c r="G45" s="173">
        <v>11423</v>
      </c>
      <c r="H45" s="175"/>
      <c r="I45" s="173">
        <v>11535</v>
      </c>
      <c r="J45" s="175"/>
      <c r="K45" s="173">
        <v>11100</v>
      </c>
      <c r="L45" s="175"/>
    </row>
    <row r="46" spans="1:12" ht="11.25" customHeight="1">
      <c r="A46" s="167" t="s">
        <v>26</v>
      </c>
      <c r="B46" s="172"/>
      <c r="C46" s="173">
        <v>82091.744000000006</v>
      </c>
      <c r="D46" s="176"/>
      <c r="E46" s="173">
        <v>82974.493000000002</v>
      </c>
      <c r="F46" s="176"/>
      <c r="G46" s="173">
        <v>83058.13</v>
      </c>
      <c r="H46" s="175"/>
      <c r="I46" s="173">
        <v>84270.399999999994</v>
      </c>
      <c r="J46" s="175"/>
      <c r="K46" s="173">
        <v>86771</v>
      </c>
      <c r="L46" s="178" t="s">
        <v>78</v>
      </c>
    </row>
    <row r="47" spans="1:12" ht="11.25" customHeight="1">
      <c r="A47" s="167" t="s">
        <v>28</v>
      </c>
      <c r="B47" s="172"/>
      <c r="C47" s="173">
        <v>4140</v>
      </c>
      <c r="D47" s="177" t="s">
        <v>9</v>
      </c>
      <c r="E47" s="173">
        <v>4283.1419999999998</v>
      </c>
      <c r="F47" s="177"/>
      <c r="G47" s="173">
        <v>3581.09</v>
      </c>
      <c r="H47" s="175"/>
      <c r="I47" s="173">
        <v>3400</v>
      </c>
      <c r="J47" s="175"/>
      <c r="K47" s="173">
        <v>3240</v>
      </c>
      <c r="L47" s="178" t="s">
        <v>78</v>
      </c>
    </row>
    <row r="48" spans="1:12" ht="11.25" customHeight="1">
      <c r="A48" s="167" t="s">
        <v>385</v>
      </c>
      <c r="B48" s="172"/>
      <c r="C48" s="173">
        <v>900</v>
      </c>
      <c r="D48" s="176"/>
      <c r="E48" s="173">
        <v>900</v>
      </c>
      <c r="F48" s="176"/>
      <c r="G48" s="173">
        <v>900</v>
      </c>
      <c r="H48" s="178" t="s">
        <v>78</v>
      </c>
      <c r="I48" s="173">
        <v>900</v>
      </c>
      <c r="J48" s="175"/>
      <c r="K48" s="173">
        <v>900</v>
      </c>
      <c r="L48" s="175"/>
    </row>
    <row r="49" spans="1:12" ht="11.25" customHeight="1">
      <c r="A49" s="167" t="s">
        <v>31</v>
      </c>
      <c r="B49" s="172"/>
      <c r="C49" s="173">
        <v>27314</v>
      </c>
      <c r="D49" s="176"/>
      <c r="E49" s="173">
        <v>27556</v>
      </c>
      <c r="F49" s="177"/>
      <c r="G49" s="173">
        <v>27309</v>
      </c>
      <c r="H49" s="175"/>
      <c r="I49" s="173">
        <v>27559.406999999999</v>
      </c>
      <c r="J49" s="178" t="s">
        <v>8</v>
      </c>
      <c r="K49" s="173">
        <v>29436.782999999999</v>
      </c>
      <c r="L49" s="178" t="s">
        <v>78</v>
      </c>
    </row>
    <row r="50" spans="1:12" ht="11.25" customHeight="1">
      <c r="A50" s="167" t="s">
        <v>386</v>
      </c>
      <c r="B50" s="172"/>
      <c r="C50" s="173">
        <v>1340</v>
      </c>
      <c r="D50" s="177"/>
      <c r="E50" s="173">
        <v>1580</v>
      </c>
      <c r="F50" s="177"/>
      <c r="G50" s="173">
        <v>1650</v>
      </c>
      <c r="H50" s="175"/>
      <c r="I50" s="173">
        <v>1630</v>
      </c>
      <c r="J50" s="175"/>
      <c r="K50" s="173">
        <v>1650</v>
      </c>
      <c r="L50" s="175"/>
    </row>
    <row r="51" spans="1:12" ht="11.25" customHeight="1">
      <c r="A51" s="167" t="s">
        <v>387</v>
      </c>
      <c r="B51" s="172"/>
      <c r="C51" s="173">
        <v>1600</v>
      </c>
      <c r="D51" s="181"/>
      <c r="E51" s="173">
        <v>1710</v>
      </c>
      <c r="F51" s="177"/>
      <c r="G51" s="173">
        <v>1349</v>
      </c>
      <c r="H51" s="175"/>
      <c r="I51" s="173">
        <v>1540</v>
      </c>
      <c r="J51" s="179" t="s">
        <v>8</v>
      </c>
      <c r="K51" s="173">
        <v>1840</v>
      </c>
      <c r="L51" s="174"/>
    </row>
    <row r="52" spans="1:12" ht="11.25" customHeight="1">
      <c r="A52" s="167" t="s">
        <v>205</v>
      </c>
      <c r="B52" s="172"/>
      <c r="C52" s="173">
        <f>C53+C54</f>
        <v>9656</v>
      </c>
      <c r="D52" s="173"/>
      <c r="E52" s="173">
        <f t="shared" ref="E52:K52" si="7">E53+E54</f>
        <v>10623</v>
      </c>
      <c r="F52" s="173"/>
      <c r="G52" s="173">
        <f t="shared" si="7"/>
        <v>10020</v>
      </c>
      <c r="H52" s="173"/>
      <c r="I52" s="173">
        <f t="shared" si="7"/>
        <v>9967</v>
      </c>
      <c r="J52" s="173"/>
      <c r="K52" s="173">
        <f t="shared" si="7"/>
        <v>10277</v>
      </c>
      <c r="L52" s="174"/>
    </row>
    <row r="53" spans="1:12" ht="11.25" customHeight="1">
      <c r="A53" s="167" t="s">
        <v>378</v>
      </c>
      <c r="B53" s="172"/>
      <c r="C53" s="173">
        <v>4183</v>
      </c>
      <c r="D53" s="174"/>
      <c r="E53" s="173">
        <v>4278</v>
      </c>
      <c r="F53" s="176"/>
      <c r="G53" s="173">
        <v>4047</v>
      </c>
      <c r="H53" s="181"/>
      <c r="I53" s="173">
        <v>3800</v>
      </c>
      <c r="J53" s="181"/>
      <c r="K53" s="173">
        <v>4077</v>
      </c>
      <c r="L53" s="182" t="s">
        <v>78</v>
      </c>
    </row>
    <row r="54" spans="1:12" ht="11.25" customHeight="1">
      <c r="A54" s="167" t="s">
        <v>371</v>
      </c>
      <c r="B54" s="172"/>
      <c r="C54" s="173">
        <v>5473</v>
      </c>
      <c r="D54" s="174"/>
      <c r="E54" s="173">
        <v>6345</v>
      </c>
      <c r="F54" s="176"/>
      <c r="G54" s="173">
        <v>5973</v>
      </c>
      <c r="H54" s="181"/>
      <c r="I54" s="173">
        <v>6167</v>
      </c>
      <c r="J54" s="182" t="s">
        <v>8</v>
      </c>
      <c r="K54" s="173">
        <v>6200</v>
      </c>
      <c r="L54" s="181"/>
    </row>
    <row r="55" spans="1:12" ht="12.25" customHeight="1">
      <c r="A55" s="167" t="s">
        <v>388</v>
      </c>
      <c r="B55" s="172"/>
      <c r="C55" s="173">
        <v>15</v>
      </c>
      <c r="D55" s="174"/>
      <c r="E55" s="173">
        <v>15</v>
      </c>
      <c r="F55" s="176"/>
      <c r="G55" s="173">
        <v>15</v>
      </c>
      <c r="H55" s="175"/>
      <c r="I55" s="173">
        <v>15</v>
      </c>
      <c r="J55" s="175"/>
      <c r="K55" s="173">
        <v>15</v>
      </c>
      <c r="L55" s="175"/>
    </row>
    <row r="56" spans="1:12" ht="11.25" customHeight="1">
      <c r="A56" s="400" t="s">
        <v>203</v>
      </c>
      <c r="B56" s="401"/>
      <c r="C56" s="401"/>
      <c r="D56" s="401"/>
      <c r="E56" s="401"/>
      <c r="F56" s="401"/>
      <c r="G56" s="401"/>
      <c r="H56" s="401"/>
      <c r="I56" s="401"/>
      <c r="J56" s="401"/>
      <c r="K56" s="401"/>
      <c r="L56" s="401"/>
    </row>
    <row r="58" spans="1:12" ht="11.25" customHeight="1">
      <c r="A58" s="183"/>
      <c r="B58" s="166"/>
      <c r="C58" s="166"/>
      <c r="D58" s="166"/>
      <c r="E58" s="166"/>
      <c r="F58" s="166"/>
      <c r="G58" s="166"/>
      <c r="H58" s="166"/>
      <c r="I58" s="166"/>
      <c r="J58" s="166"/>
      <c r="K58" s="166"/>
      <c r="L58" s="166"/>
    </row>
    <row r="59" spans="1:12" ht="11.25" customHeight="1">
      <c r="A59" s="183"/>
      <c r="B59" s="166"/>
      <c r="C59" s="166"/>
      <c r="D59" s="166"/>
      <c r="E59" s="166"/>
      <c r="F59" s="166"/>
      <c r="G59" s="166"/>
      <c r="H59" s="166"/>
      <c r="I59" s="166"/>
      <c r="J59" s="166"/>
      <c r="K59" s="166"/>
      <c r="L59" s="166"/>
    </row>
    <row r="60" spans="1:12" ht="11.25" customHeight="1">
      <c r="A60" s="183"/>
      <c r="B60" s="166"/>
      <c r="C60" s="166"/>
      <c r="D60" s="166"/>
      <c r="E60" s="166"/>
      <c r="F60" s="166"/>
      <c r="G60" s="166"/>
      <c r="H60" s="166"/>
      <c r="I60" s="166"/>
      <c r="J60" s="166"/>
      <c r="K60" s="166"/>
      <c r="L60" s="166"/>
    </row>
    <row r="61" spans="1:12" ht="11.25" customHeight="1">
      <c r="A61" s="183"/>
      <c r="B61" s="166"/>
      <c r="C61" s="166"/>
      <c r="D61" s="166"/>
      <c r="E61" s="166"/>
      <c r="F61" s="166"/>
      <c r="G61" s="166"/>
      <c r="H61" s="166"/>
      <c r="I61" s="166"/>
      <c r="J61" s="166"/>
      <c r="K61" s="166"/>
      <c r="L61" s="166"/>
    </row>
    <row r="62" spans="1:12" ht="11.25" customHeight="1">
      <c r="A62" s="402" t="s">
        <v>389</v>
      </c>
      <c r="B62" s="403"/>
      <c r="C62" s="403"/>
      <c r="D62" s="403"/>
      <c r="E62" s="403"/>
      <c r="F62" s="403"/>
      <c r="G62" s="403"/>
      <c r="H62" s="403"/>
      <c r="I62" s="403"/>
      <c r="J62" s="403"/>
      <c r="K62" s="403"/>
      <c r="L62" s="403"/>
    </row>
    <row r="63" spans="1:12" ht="11.25" customHeight="1">
      <c r="A63" s="402" t="s">
        <v>366</v>
      </c>
      <c r="B63" s="403"/>
      <c r="C63" s="403"/>
      <c r="D63" s="403"/>
      <c r="E63" s="403"/>
      <c r="F63" s="403"/>
      <c r="G63" s="403"/>
      <c r="H63" s="403"/>
      <c r="I63" s="403"/>
      <c r="J63" s="403"/>
      <c r="K63" s="403"/>
      <c r="L63" s="403"/>
    </row>
    <row r="64" spans="1:12" ht="11.25" customHeight="1">
      <c r="A64" s="402"/>
      <c r="B64" s="403"/>
      <c r="C64" s="403"/>
      <c r="D64" s="403"/>
      <c r="E64" s="403"/>
      <c r="F64" s="403"/>
      <c r="G64" s="403"/>
      <c r="H64" s="403"/>
      <c r="I64" s="403"/>
      <c r="J64" s="403"/>
      <c r="K64" s="403"/>
      <c r="L64" s="403"/>
    </row>
    <row r="65" spans="1:12" ht="11.25" customHeight="1">
      <c r="A65" s="402" t="s">
        <v>0</v>
      </c>
      <c r="B65" s="403"/>
      <c r="C65" s="403"/>
      <c r="D65" s="403"/>
      <c r="E65" s="403"/>
      <c r="F65" s="403"/>
      <c r="G65" s="403"/>
      <c r="H65" s="403"/>
      <c r="I65" s="403"/>
      <c r="J65" s="403"/>
      <c r="K65" s="403"/>
      <c r="L65" s="403"/>
    </row>
    <row r="66" spans="1:12" ht="11.25" customHeight="1">
      <c r="A66" s="407"/>
      <c r="B66" s="408"/>
      <c r="C66" s="408"/>
      <c r="D66" s="408"/>
      <c r="E66" s="408"/>
      <c r="F66" s="408"/>
      <c r="G66" s="408"/>
      <c r="H66" s="408"/>
      <c r="I66" s="408"/>
      <c r="J66" s="408"/>
      <c r="K66" s="408"/>
      <c r="L66" s="408"/>
    </row>
    <row r="67" spans="1:12" ht="12.25" customHeight="1">
      <c r="A67" s="167" t="s">
        <v>367</v>
      </c>
      <c r="B67" s="184"/>
      <c r="C67" s="169" t="s">
        <v>74</v>
      </c>
      <c r="D67" s="170"/>
      <c r="E67" s="171" t="s">
        <v>75</v>
      </c>
      <c r="F67" s="170"/>
      <c r="G67" s="169" t="s">
        <v>76</v>
      </c>
      <c r="H67" s="170"/>
      <c r="I67" s="169" t="s">
        <v>77</v>
      </c>
      <c r="J67" s="170"/>
      <c r="K67" s="171" t="s">
        <v>368</v>
      </c>
      <c r="L67" s="170"/>
    </row>
    <row r="68" spans="1:12" ht="11.25" customHeight="1">
      <c r="A68" s="167" t="s">
        <v>390</v>
      </c>
      <c r="B68" s="172"/>
      <c r="C68" s="173">
        <v>5845</v>
      </c>
      <c r="D68" s="179" t="s">
        <v>8</v>
      </c>
      <c r="E68" s="173">
        <v>5846</v>
      </c>
      <c r="F68" s="179" t="s">
        <v>8</v>
      </c>
      <c r="G68" s="173">
        <v>6031</v>
      </c>
      <c r="H68" s="178" t="s">
        <v>8</v>
      </c>
      <c r="I68" s="173">
        <v>5417</v>
      </c>
      <c r="J68" s="178" t="s">
        <v>8</v>
      </c>
      <c r="K68" s="173">
        <v>5500</v>
      </c>
      <c r="L68" s="176"/>
    </row>
    <row r="69" spans="1:12" ht="11.25" customHeight="1">
      <c r="A69" s="167" t="s">
        <v>391</v>
      </c>
      <c r="B69" s="172"/>
      <c r="C69" s="173">
        <v>600</v>
      </c>
      <c r="D69" s="176"/>
      <c r="E69" s="173">
        <v>650</v>
      </c>
      <c r="F69" s="178" t="s">
        <v>8</v>
      </c>
      <c r="G69" s="173">
        <v>652</v>
      </c>
      <c r="H69" s="178" t="s">
        <v>8</v>
      </c>
      <c r="I69" s="173">
        <v>664</v>
      </c>
      <c r="J69" s="178" t="s">
        <v>8</v>
      </c>
      <c r="K69" s="173">
        <v>679</v>
      </c>
      <c r="L69" s="175"/>
    </row>
    <row r="70" spans="1:12" ht="11.25" customHeight="1">
      <c r="A70" s="167" t="s">
        <v>235</v>
      </c>
      <c r="B70" s="172"/>
      <c r="C70" s="185" t="s">
        <v>12</v>
      </c>
      <c r="D70" s="176"/>
      <c r="E70" s="185" t="s">
        <v>12</v>
      </c>
      <c r="F70" s="176"/>
      <c r="G70" s="185" t="s">
        <v>12</v>
      </c>
      <c r="H70" s="175"/>
      <c r="I70" s="173">
        <v>150</v>
      </c>
      <c r="J70" s="175"/>
      <c r="K70" s="173">
        <v>150</v>
      </c>
      <c r="L70" s="175"/>
    </row>
    <row r="71" spans="1:12" ht="11.25" customHeight="1">
      <c r="A71" s="167" t="s">
        <v>392</v>
      </c>
      <c r="B71" s="172"/>
      <c r="C71" s="173">
        <v>110</v>
      </c>
      <c r="D71" s="178" t="s">
        <v>8</v>
      </c>
      <c r="E71" s="173">
        <v>100</v>
      </c>
      <c r="F71" s="178" t="s">
        <v>8</v>
      </c>
      <c r="G71" s="173">
        <v>100</v>
      </c>
      <c r="H71" s="178" t="s">
        <v>8</v>
      </c>
      <c r="I71" s="173">
        <v>100</v>
      </c>
      <c r="J71" s="178" t="s">
        <v>8</v>
      </c>
      <c r="K71" s="173">
        <v>100</v>
      </c>
      <c r="L71" s="186"/>
    </row>
    <row r="72" spans="1:12" ht="11.25" customHeight="1">
      <c r="A72" s="167" t="s">
        <v>393</v>
      </c>
      <c r="B72" s="172"/>
      <c r="C72" s="173">
        <v>1500</v>
      </c>
      <c r="D72" s="176"/>
      <c r="E72" s="173">
        <v>1500</v>
      </c>
      <c r="F72" s="187"/>
      <c r="G72" s="173">
        <v>1500</v>
      </c>
      <c r="H72" s="188"/>
      <c r="I72" s="173">
        <v>1200</v>
      </c>
      <c r="J72" s="189" t="s">
        <v>8</v>
      </c>
      <c r="K72" s="173">
        <v>1000</v>
      </c>
      <c r="L72" s="188"/>
    </row>
    <row r="73" spans="1:12" ht="11.25" customHeight="1">
      <c r="A73" s="167" t="s">
        <v>280</v>
      </c>
      <c r="B73" s="172"/>
      <c r="C73" s="173">
        <v>98</v>
      </c>
      <c r="D73" s="181"/>
      <c r="E73" s="173">
        <v>119</v>
      </c>
      <c r="F73" s="175"/>
      <c r="G73" s="173">
        <v>124</v>
      </c>
      <c r="H73" s="175" t="s">
        <v>8</v>
      </c>
      <c r="I73" s="173">
        <v>136</v>
      </c>
      <c r="J73" s="179" t="s">
        <v>8</v>
      </c>
      <c r="K73" s="173">
        <v>136.5</v>
      </c>
      <c r="L73" s="179" t="s">
        <v>17</v>
      </c>
    </row>
    <row r="74" spans="1:12" ht="11.25" customHeight="1">
      <c r="A74" s="167" t="s">
        <v>394</v>
      </c>
      <c r="B74" s="172"/>
      <c r="C74" s="173">
        <f>C75+C76</f>
        <v>306</v>
      </c>
      <c r="D74" s="173"/>
      <c r="E74" s="173">
        <f t="shared" ref="E74:K74" si="8">E75+E76</f>
        <v>352</v>
      </c>
      <c r="F74" s="173"/>
      <c r="G74" s="173">
        <f t="shared" si="8"/>
        <v>343</v>
      </c>
      <c r="H74" s="173"/>
      <c r="I74" s="173">
        <f t="shared" si="8"/>
        <v>386</v>
      </c>
      <c r="J74" s="173"/>
      <c r="K74" s="173">
        <f t="shared" si="8"/>
        <v>431</v>
      </c>
      <c r="L74" s="191"/>
    </row>
    <row r="75" spans="1:12" ht="11.25" customHeight="1">
      <c r="A75" s="167" t="s">
        <v>395</v>
      </c>
      <c r="B75" s="172"/>
      <c r="C75" s="173">
        <v>226</v>
      </c>
      <c r="D75" s="179" t="s">
        <v>8</v>
      </c>
      <c r="E75" s="173">
        <v>272</v>
      </c>
      <c r="F75" s="179" t="s">
        <v>8</v>
      </c>
      <c r="G75" s="173">
        <v>263</v>
      </c>
      <c r="H75" s="192" t="s">
        <v>8</v>
      </c>
      <c r="I75" s="173">
        <v>306</v>
      </c>
      <c r="J75" s="192" t="s">
        <v>8</v>
      </c>
      <c r="K75" s="173">
        <v>351</v>
      </c>
      <c r="L75" s="192" t="s">
        <v>78</v>
      </c>
    </row>
    <row r="76" spans="1:12" ht="11.25" customHeight="1">
      <c r="A76" s="167" t="s">
        <v>396</v>
      </c>
      <c r="B76" s="172"/>
      <c r="C76" s="173">
        <v>80</v>
      </c>
      <c r="D76" s="176"/>
      <c r="E76" s="173">
        <v>80</v>
      </c>
      <c r="F76" s="190"/>
      <c r="G76" s="173">
        <v>80</v>
      </c>
      <c r="H76" s="166"/>
      <c r="I76" s="173">
        <v>80</v>
      </c>
      <c r="J76" s="166"/>
      <c r="K76" s="173">
        <v>80</v>
      </c>
      <c r="L76" s="166"/>
    </row>
    <row r="77" spans="1:12" ht="11.25" customHeight="1">
      <c r="A77" s="167" t="s">
        <v>281</v>
      </c>
      <c r="B77" s="172"/>
      <c r="C77" s="173">
        <v>5632</v>
      </c>
      <c r="D77" s="174"/>
      <c r="E77" s="173">
        <v>6399</v>
      </c>
      <c r="F77" s="177"/>
      <c r="G77" s="173">
        <v>4477</v>
      </c>
      <c r="H77" s="175"/>
      <c r="I77" s="173">
        <v>5332.6319999999996</v>
      </c>
      <c r="J77" s="178" t="s">
        <v>8</v>
      </c>
      <c r="K77" s="173">
        <v>5804.4179999999997</v>
      </c>
      <c r="L77" s="178" t="s">
        <v>78</v>
      </c>
    </row>
    <row r="78" spans="1:12" ht="11.25" customHeight="1">
      <c r="A78" s="167" t="s">
        <v>282</v>
      </c>
      <c r="B78" s="193" t="s">
        <v>43</v>
      </c>
      <c r="C78" s="173">
        <v>100</v>
      </c>
      <c r="D78" s="177"/>
      <c r="E78" s="173">
        <v>100</v>
      </c>
      <c r="F78" s="175"/>
      <c r="G78" s="173">
        <v>100</v>
      </c>
      <c r="H78" s="166"/>
      <c r="I78" s="173">
        <v>100</v>
      </c>
      <c r="J78" s="166"/>
      <c r="K78" s="173">
        <v>100</v>
      </c>
      <c r="L78" s="166"/>
    </row>
    <row r="79" spans="1:12" ht="11.25" customHeight="1">
      <c r="A79" s="167" t="s">
        <v>283</v>
      </c>
      <c r="B79" s="194"/>
      <c r="C79" s="173">
        <v>780</v>
      </c>
      <c r="D79" s="177" t="s">
        <v>9</v>
      </c>
      <c r="E79" s="173">
        <v>830</v>
      </c>
      <c r="F79" s="177" t="s">
        <v>9</v>
      </c>
      <c r="G79" s="173">
        <v>820</v>
      </c>
      <c r="H79" s="175"/>
      <c r="I79" s="173">
        <v>880</v>
      </c>
      <c r="J79" s="166"/>
      <c r="K79" s="173">
        <v>1200</v>
      </c>
      <c r="L79" s="166"/>
    </row>
    <row r="80" spans="1:12" ht="11.25" customHeight="1">
      <c r="A80" s="195" t="s">
        <v>85</v>
      </c>
      <c r="B80" s="184"/>
      <c r="C80" s="173">
        <v>4101</v>
      </c>
      <c r="D80" s="174"/>
      <c r="E80" s="173">
        <v>4244</v>
      </c>
      <c r="F80" s="179" t="s">
        <v>8</v>
      </c>
      <c r="G80" s="173">
        <v>4098</v>
      </c>
      <c r="H80" s="179" t="s">
        <v>8</v>
      </c>
      <c r="I80" s="173">
        <v>3945.9749999999999</v>
      </c>
      <c r="J80" s="178" t="s">
        <v>8</v>
      </c>
      <c r="K80" s="173">
        <v>3923.2339999999999</v>
      </c>
      <c r="L80" s="178" t="s">
        <v>78</v>
      </c>
    </row>
    <row r="81" spans="1:12" ht="11.25" customHeight="1">
      <c r="A81" s="196" t="s">
        <v>208</v>
      </c>
      <c r="B81" s="172"/>
      <c r="C81" s="173">
        <f>C82+C83</f>
        <v>51268</v>
      </c>
      <c r="D81" s="173"/>
      <c r="E81" s="173">
        <f t="shared" ref="E81:K81" si="9">E82+E83</f>
        <v>53566.7</v>
      </c>
      <c r="F81" s="173"/>
      <c r="G81" s="173">
        <f t="shared" si="9"/>
        <v>52515</v>
      </c>
      <c r="H81" s="173"/>
      <c r="I81" s="173">
        <f t="shared" si="9"/>
        <v>55023</v>
      </c>
      <c r="J81" s="173"/>
      <c r="K81" s="173">
        <f t="shared" si="9"/>
        <v>55523</v>
      </c>
      <c r="L81" s="174"/>
    </row>
    <row r="82" spans="1:12" ht="11.25" customHeight="1">
      <c r="A82" s="196" t="s">
        <v>378</v>
      </c>
      <c r="B82" s="172"/>
      <c r="C82" s="173">
        <v>48368</v>
      </c>
      <c r="D82" s="174"/>
      <c r="E82" s="173">
        <v>50426.7</v>
      </c>
      <c r="F82" s="177"/>
      <c r="G82" s="173">
        <v>49175</v>
      </c>
      <c r="H82" s="175"/>
      <c r="I82" s="173">
        <v>51683</v>
      </c>
      <c r="J82" s="175"/>
      <c r="K82" s="173">
        <v>51523</v>
      </c>
      <c r="L82" s="178" t="s">
        <v>78</v>
      </c>
    </row>
    <row r="83" spans="1:12" ht="11.25" customHeight="1">
      <c r="A83" s="196" t="s">
        <v>397</v>
      </c>
      <c r="B83" s="172"/>
      <c r="C83" s="173">
        <v>2900</v>
      </c>
      <c r="D83" s="177"/>
      <c r="E83" s="173">
        <v>3140</v>
      </c>
      <c r="F83" s="175"/>
      <c r="G83" s="173">
        <v>3340</v>
      </c>
      <c r="H83" s="176"/>
      <c r="I83" s="173">
        <v>3340</v>
      </c>
      <c r="J83" s="176"/>
      <c r="K83" s="173">
        <v>4000</v>
      </c>
      <c r="L83" s="176"/>
    </row>
    <row r="84" spans="1:12" ht="11.25" customHeight="1">
      <c r="A84" s="196" t="s">
        <v>285</v>
      </c>
      <c r="B84" s="172"/>
      <c r="C84" s="173">
        <v>3290</v>
      </c>
      <c r="D84" s="176"/>
      <c r="E84" s="173">
        <v>3141</v>
      </c>
      <c r="F84" s="175"/>
      <c r="G84" s="173">
        <v>3630</v>
      </c>
      <c r="H84" s="177" t="s">
        <v>9</v>
      </c>
      <c r="I84" s="173">
        <v>3580</v>
      </c>
      <c r="J84" s="176"/>
      <c r="K84" s="173">
        <v>4100</v>
      </c>
      <c r="L84" s="176"/>
    </row>
    <row r="85" spans="1:12" ht="11.25" customHeight="1">
      <c r="A85" s="196" t="s">
        <v>398</v>
      </c>
      <c r="B85" s="172"/>
      <c r="C85" s="173">
        <v>635.48099999999999</v>
      </c>
      <c r="D85" s="179" t="s">
        <v>399</v>
      </c>
      <c r="E85" s="173">
        <v>959.01900000000001</v>
      </c>
      <c r="F85" s="179" t="s">
        <v>400</v>
      </c>
      <c r="G85" s="173">
        <v>1115.1949999999999</v>
      </c>
      <c r="H85" s="179" t="s">
        <v>400</v>
      </c>
      <c r="I85" s="173">
        <v>1529.1769999999999</v>
      </c>
      <c r="J85" s="178" t="s">
        <v>8</v>
      </c>
      <c r="K85" s="173">
        <v>1485</v>
      </c>
      <c r="L85" s="178" t="s">
        <v>78</v>
      </c>
    </row>
    <row r="86" spans="1:12" ht="11.25" customHeight="1">
      <c r="A86" s="196" t="s">
        <v>287</v>
      </c>
      <c r="B86" s="172"/>
      <c r="C86" s="173">
        <v>3892</v>
      </c>
      <c r="D86" s="174"/>
      <c r="E86" s="173">
        <v>3765</v>
      </c>
      <c r="F86" s="177"/>
      <c r="G86" s="173">
        <v>3618</v>
      </c>
      <c r="H86" s="177"/>
      <c r="I86" s="173">
        <v>4145</v>
      </c>
      <c r="J86" s="175"/>
      <c r="K86" s="173">
        <v>4012</v>
      </c>
      <c r="L86" s="178" t="s">
        <v>78</v>
      </c>
    </row>
    <row r="87" spans="1:12" ht="11.25" customHeight="1">
      <c r="A87" s="196" t="s">
        <v>209</v>
      </c>
      <c r="B87" s="172"/>
      <c r="C87" s="173">
        <f>C88+C89</f>
        <v>7776</v>
      </c>
      <c r="D87" s="173"/>
      <c r="E87" s="173">
        <f t="shared" ref="E87:K87" si="10">E88+E89</f>
        <v>7644</v>
      </c>
      <c r="F87" s="173"/>
      <c r="G87" s="173">
        <f t="shared" si="10"/>
        <v>7911</v>
      </c>
      <c r="H87" s="173"/>
      <c r="I87" s="173">
        <f t="shared" si="10"/>
        <v>7913</v>
      </c>
      <c r="J87" s="173"/>
      <c r="K87" s="173">
        <f t="shared" si="10"/>
        <v>7094</v>
      </c>
      <c r="L87" s="176"/>
    </row>
    <row r="88" spans="1:12" ht="11.25" customHeight="1">
      <c r="A88" s="196" t="s">
        <v>378</v>
      </c>
      <c r="B88" s="172"/>
      <c r="C88" s="173">
        <v>6234</v>
      </c>
      <c r="D88" s="177"/>
      <c r="E88" s="173">
        <v>6011</v>
      </c>
      <c r="F88" s="177"/>
      <c r="G88" s="173">
        <v>6130</v>
      </c>
      <c r="H88" s="175"/>
      <c r="I88" s="173">
        <v>6159</v>
      </c>
      <c r="J88" s="178" t="s">
        <v>8</v>
      </c>
      <c r="K88" s="173">
        <v>5358</v>
      </c>
      <c r="L88" s="178" t="s">
        <v>78</v>
      </c>
    </row>
    <row r="89" spans="1:12" ht="11.25" customHeight="1">
      <c r="A89" s="196" t="s">
        <v>371</v>
      </c>
      <c r="B89" s="172"/>
      <c r="C89" s="173">
        <v>1542</v>
      </c>
      <c r="D89" s="174"/>
      <c r="E89" s="173">
        <v>1633</v>
      </c>
      <c r="F89" s="179" t="s">
        <v>8</v>
      </c>
      <c r="G89" s="173">
        <v>1781</v>
      </c>
      <c r="H89" s="177"/>
      <c r="I89" s="173">
        <v>1754</v>
      </c>
      <c r="J89" s="175"/>
      <c r="K89" s="173">
        <v>1736</v>
      </c>
      <c r="L89" s="178" t="s">
        <v>78</v>
      </c>
    </row>
    <row r="90" spans="1:12" ht="11.25" customHeight="1">
      <c r="A90" s="196" t="s">
        <v>288</v>
      </c>
      <c r="B90" s="172"/>
      <c r="C90" s="173">
        <v>3645</v>
      </c>
      <c r="D90" s="179" t="s">
        <v>8</v>
      </c>
      <c r="E90" s="173">
        <v>4036</v>
      </c>
      <c r="F90" s="179" t="s">
        <v>8</v>
      </c>
      <c r="G90" s="173">
        <v>4160</v>
      </c>
      <c r="H90" s="179" t="s">
        <v>8</v>
      </c>
      <c r="I90" s="173">
        <v>3432</v>
      </c>
      <c r="J90" s="179" t="s">
        <v>8</v>
      </c>
      <c r="K90" s="173">
        <v>3974</v>
      </c>
      <c r="L90" s="178" t="s">
        <v>78</v>
      </c>
    </row>
    <row r="91" spans="1:12" ht="11.25" customHeight="1">
      <c r="A91" s="196" t="s">
        <v>39</v>
      </c>
      <c r="B91" s="172"/>
      <c r="C91" s="173">
        <v>3710</v>
      </c>
      <c r="D91" s="179" t="s">
        <v>8</v>
      </c>
      <c r="E91" s="173">
        <v>3871</v>
      </c>
      <c r="F91" s="179" t="s">
        <v>8</v>
      </c>
      <c r="G91" s="173">
        <v>3730</v>
      </c>
      <c r="H91" s="179" t="s">
        <v>8</v>
      </c>
      <c r="I91" s="173">
        <v>3577</v>
      </c>
      <c r="J91" s="179" t="s">
        <v>8</v>
      </c>
      <c r="K91" s="173">
        <v>3815</v>
      </c>
      <c r="L91" s="178" t="s">
        <v>78</v>
      </c>
    </row>
    <row r="92" spans="1:12" ht="11.25" customHeight="1">
      <c r="A92" s="196" t="s">
        <v>347</v>
      </c>
      <c r="B92" s="172"/>
      <c r="C92" s="180" t="s">
        <v>12</v>
      </c>
      <c r="D92" s="179" t="s">
        <v>8</v>
      </c>
      <c r="E92" s="180" t="s">
        <v>12</v>
      </c>
      <c r="F92" s="179" t="s">
        <v>8</v>
      </c>
      <c r="G92" s="180" t="s">
        <v>12</v>
      </c>
      <c r="H92" s="179" t="s">
        <v>8</v>
      </c>
      <c r="I92" s="180" t="s">
        <v>12</v>
      </c>
      <c r="J92" s="179" t="s">
        <v>8</v>
      </c>
      <c r="K92" s="180" t="s">
        <v>12</v>
      </c>
      <c r="L92" s="176"/>
    </row>
    <row r="93" spans="1:12" ht="11.25" customHeight="1">
      <c r="A93" s="196" t="s">
        <v>290</v>
      </c>
      <c r="B93" s="172"/>
      <c r="C93" s="173">
        <v>10799</v>
      </c>
      <c r="D93" s="176"/>
      <c r="E93" s="173">
        <v>10198</v>
      </c>
      <c r="F93" s="176"/>
      <c r="G93" s="173">
        <v>9854</v>
      </c>
      <c r="H93" s="175"/>
      <c r="I93" s="173">
        <v>10500</v>
      </c>
      <c r="J93" s="175"/>
      <c r="K93" s="173">
        <v>10550</v>
      </c>
      <c r="L93" s="178" t="s">
        <v>78</v>
      </c>
    </row>
    <row r="94" spans="1:12" ht="11.25" customHeight="1">
      <c r="A94" s="196" t="s">
        <v>291</v>
      </c>
      <c r="B94" s="172"/>
      <c r="C94" s="173">
        <v>2275</v>
      </c>
      <c r="D94" s="176"/>
      <c r="E94" s="173">
        <v>2336.5</v>
      </c>
      <c r="F94" s="177"/>
      <c r="G94" s="173">
        <v>2055</v>
      </c>
      <c r="H94" s="177"/>
      <c r="I94" s="173">
        <v>2000</v>
      </c>
      <c r="J94" s="176"/>
      <c r="K94" s="173">
        <v>2000</v>
      </c>
      <c r="L94" s="176"/>
    </row>
    <row r="95" spans="1:12" ht="11.25" customHeight="1">
      <c r="A95" s="196" t="s">
        <v>292</v>
      </c>
      <c r="B95" s="172"/>
      <c r="C95" s="173">
        <v>36</v>
      </c>
      <c r="D95" s="176"/>
      <c r="E95" s="185" t="s">
        <v>12</v>
      </c>
      <c r="F95" s="177" t="s">
        <v>9</v>
      </c>
      <c r="G95" s="185" t="s">
        <v>12</v>
      </c>
      <c r="H95" s="177" t="s">
        <v>9</v>
      </c>
      <c r="I95" s="185" t="s">
        <v>12</v>
      </c>
      <c r="J95" s="176"/>
      <c r="K95" s="185" t="s">
        <v>12</v>
      </c>
      <c r="L95" s="176"/>
    </row>
    <row r="96" spans="1:12" ht="11.25" customHeight="1">
      <c r="A96" s="196" t="s">
        <v>293</v>
      </c>
      <c r="B96" s="172"/>
      <c r="C96" s="173">
        <v>5706.8</v>
      </c>
      <c r="D96" s="178" t="s">
        <v>8</v>
      </c>
      <c r="E96" s="173">
        <v>5836</v>
      </c>
      <c r="F96" s="178" t="s">
        <v>8</v>
      </c>
      <c r="G96" s="173">
        <v>5970</v>
      </c>
      <c r="H96" s="178" t="s">
        <v>8</v>
      </c>
      <c r="I96" s="173">
        <v>5952</v>
      </c>
      <c r="J96" s="178" t="s">
        <v>8</v>
      </c>
      <c r="K96" s="173">
        <v>6234</v>
      </c>
      <c r="L96" s="178" t="s">
        <v>78</v>
      </c>
    </row>
    <row r="97" spans="1:12" ht="11.25" customHeight="1">
      <c r="A97" s="196" t="s">
        <v>49</v>
      </c>
      <c r="B97" s="172"/>
      <c r="C97" s="173">
        <v>29570</v>
      </c>
      <c r="D97" s="176"/>
      <c r="E97" s="173">
        <v>31000</v>
      </c>
      <c r="F97" s="176"/>
      <c r="G97" s="173">
        <v>30747</v>
      </c>
      <c r="H97" s="176"/>
      <c r="I97" s="173">
        <v>32926</v>
      </c>
      <c r="J97" s="175"/>
      <c r="K97" s="173">
        <v>35647</v>
      </c>
      <c r="L97" s="178" t="s">
        <v>78</v>
      </c>
    </row>
    <row r="98" spans="1:12" ht="11.25" customHeight="1">
      <c r="A98" s="196" t="s">
        <v>50</v>
      </c>
      <c r="B98" s="172"/>
      <c r="C98" s="173">
        <v>10228</v>
      </c>
      <c r="D98" s="177"/>
      <c r="E98" s="173">
        <v>10180</v>
      </c>
      <c r="F98" s="177"/>
      <c r="G98" s="173">
        <v>10236</v>
      </c>
      <c r="H98" s="179" t="s">
        <v>8</v>
      </c>
      <c r="I98" s="173">
        <v>10736</v>
      </c>
      <c r="J98" s="175"/>
      <c r="K98" s="173">
        <v>11000</v>
      </c>
      <c r="L98" s="175"/>
    </row>
    <row r="99" spans="1:12" ht="11.25" customHeight="1">
      <c r="A99" s="196" t="s">
        <v>210</v>
      </c>
      <c r="B99" s="172"/>
      <c r="C99" s="173">
        <f>C100+C101</f>
        <v>40810</v>
      </c>
      <c r="D99" s="173"/>
      <c r="E99" s="173">
        <f t="shared" ref="E99:K99" si="11">E100+E101</f>
        <v>42480</v>
      </c>
      <c r="F99" s="173"/>
      <c r="G99" s="173">
        <f t="shared" si="11"/>
        <v>37420</v>
      </c>
      <c r="H99" s="173"/>
      <c r="I99" s="173">
        <f t="shared" si="11"/>
        <v>38140</v>
      </c>
      <c r="J99" s="173"/>
      <c r="K99" s="173">
        <f t="shared" si="11"/>
        <v>36550</v>
      </c>
      <c r="L99" s="187"/>
    </row>
    <row r="100" spans="1:12" ht="11.25" customHeight="1">
      <c r="A100" s="196" t="s">
        <v>378</v>
      </c>
      <c r="B100" s="172"/>
      <c r="C100" s="173">
        <v>40600</v>
      </c>
      <c r="D100" s="176"/>
      <c r="E100" s="173">
        <v>42300</v>
      </c>
      <c r="F100" s="176"/>
      <c r="G100" s="173">
        <v>37200</v>
      </c>
      <c r="H100" s="175"/>
      <c r="I100" s="173">
        <v>37900</v>
      </c>
      <c r="J100" s="175"/>
      <c r="K100" s="173">
        <v>36300</v>
      </c>
      <c r="L100" s="178" t="s">
        <v>78</v>
      </c>
    </row>
    <row r="101" spans="1:12" ht="11.25" customHeight="1">
      <c r="A101" s="196" t="s">
        <v>371</v>
      </c>
      <c r="B101" s="172"/>
      <c r="C101" s="173">
        <v>210</v>
      </c>
      <c r="D101" s="176"/>
      <c r="E101" s="173">
        <v>180</v>
      </c>
      <c r="F101" s="176"/>
      <c r="G101" s="173">
        <v>220</v>
      </c>
      <c r="H101" s="175"/>
      <c r="I101" s="173">
        <v>240</v>
      </c>
      <c r="J101" s="175"/>
      <c r="K101" s="173">
        <v>250</v>
      </c>
      <c r="L101" s="178" t="s">
        <v>78</v>
      </c>
    </row>
    <row r="102" spans="1:12" ht="11.25" customHeight="1">
      <c r="A102" s="196" t="s">
        <v>294</v>
      </c>
      <c r="B102" s="172"/>
      <c r="C102" s="173">
        <v>6645.2560000000003</v>
      </c>
      <c r="D102" s="176"/>
      <c r="E102" s="173">
        <v>7800</v>
      </c>
      <c r="F102" s="177" t="s">
        <v>8</v>
      </c>
      <c r="G102" s="173">
        <v>8900</v>
      </c>
      <c r="H102" s="177" t="s">
        <v>8</v>
      </c>
      <c r="I102" s="173">
        <v>8400</v>
      </c>
      <c r="J102" s="176"/>
      <c r="K102" s="173">
        <v>8400</v>
      </c>
      <c r="L102" s="176"/>
    </row>
    <row r="103" spans="1:12" ht="11.25" customHeight="1">
      <c r="A103" s="196" t="s">
        <v>401</v>
      </c>
      <c r="B103" s="172"/>
      <c r="C103" s="197">
        <v>182</v>
      </c>
      <c r="D103" s="198"/>
      <c r="E103" s="197">
        <v>125</v>
      </c>
      <c r="F103" s="199" t="s">
        <v>8</v>
      </c>
      <c r="G103" s="197">
        <v>129</v>
      </c>
      <c r="H103" s="199" t="s">
        <v>8</v>
      </c>
      <c r="I103" s="197">
        <v>38</v>
      </c>
      <c r="J103" s="199" t="s">
        <v>8</v>
      </c>
      <c r="K103" s="197">
        <v>45</v>
      </c>
      <c r="L103" s="200"/>
    </row>
    <row r="104" spans="1:12" ht="11.25" customHeight="1">
      <c r="A104" s="196" t="s">
        <v>402</v>
      </c>
      <c r="B104" s="172"/>
      <c r="C104" s="173">
        <v>719000</v>
      </c>
      <c r="D104" s="177" t="s">
        <v>8</v>
      </c>
      <c r="E104" s="173">
        <v>773000</v>
      </c>
      <c r="F104" s="177" t="s">
        <v>8</v>
      </c>
      <c r="G104" s="173">
        <v>858000</v>
      </c>
      <c r="H104" s="177" t="s">
        <v>8</v>
      </c>
      <c r="I104" s="173">
        <v>942000</v>
      </c>
      <c r="J104" s="177" t="s">
        <v>8</v>
      </c>
      <c r="K104" s="173">
        <v>1010000</v>
      </c>
      <c r="L104" s="201"/>
    </row>
    <row r="105" spans="1:12" ht="11.25" customHeight="1">
      <c r="A105" s="196" t="s">
        <v>403</v>
      </c>
      <c r="B105" s="172"/>
      <c r="C105" s="174"/>
      <c r="D105" s="174"/>
      <c r="E105" s="174"/>
      <c r="F105" s="174"/>
      <c r="G105" s="174"/>
      <c r="H105" s="174"/>
      <c r="I105" s="174"/>
      <c r="J105" s="174"/>
      <c r="K105" s="174"/>
      <c r="L105" s="174"/>
    </row>
    <row r="106" spans="1:12" ht="11.25" customHeight="1">
      <c r="A106" s="196" t="s">
        <v>404</v>
      </c>
      <c r="B106" s="172"/>
      <c r="C106" s="173">
        <v>673000</v>
      </c>
      <c r="D106" s="177" t="s">
        <v>8</v>
      </c>
      <c r="E106" s="173">
        <v>720000</v>
      </c>
      <c r="F106" s="177" t="s">
        <v>8</v>
      </c>
      <c r="G106" s="173">
        <v>802000</v>
      </c>
      <c r="H106" s="177" t="s">
        <v>8</v>
      </c>
      <c r="I106" s="173">
        <v>883000</v>
      </c>
      <c r="J106" s="177" t="s">
        <v>8</v>
      </c>
      <c r="K106" s="173">
        <v>947000</v>
      </c>
      <c r="L106" s="174"/>
    </row>
    <row r="107" spans="1:12" ht="11.25" customHeight="1">
      <c r="A107" s="195" t="s">
        <v>405</v>
      </c>
      <c r="B107" s="194"/>
      <c r="C107" s="173">
        <v>46800</v>
      </c>
      <c r="D107" s="177" t="s">
        <v>8</v>
      </c>
      <c r="E107" s="173">
        <v>52700</v>
      </c>
      <c r="F107" s="177" t="s">
        <v>8</v>
      </c>
      <c r="G107" s="173">
        <v>56200</v>
      </c>
      <c r="H107" s="177" t="s">
        <v>8</v>
      </c>
      <c r="I107" s="173">
        <v>58700</v>
      </c>
      <c r="J107" s="177" t="s">
        <v>8</v>
      </c>
      <c r="K107" s="173">
        <v>65000</v>
      </c>
      <c r="L107" s="202"/>
    </row>
    <row r="108" spans="1:12" ht="13.25" customHeight="1">
      <c r="A108" s="409" t="s">
        <v>406</v>
      </c>
      <c r="B108" s="401"/>
      <c r="C108" s="401"/>
      <c r="D108" s="401"/>
      <c r="E108" s="401"/>
      <c r="F108" s="401"/>
      <c r="G108" s="401"/>
      <c r="H108" s="401"/>
      <c r="I108" s="401"/>
      <c r="J108" s="401"/>
      <c r="K108" s="401"/>
      <c r="L108" s="401"/>
    </row>
    <row r="109" spans="1:12" ht="13.25" customHeight="1">
      <c r="A109" s="410" t="s">
        <v>407</v>
      </c>
      <c r="B109" s="405"/>
      <c r="C109" s="405"/>
      <c r="D109" s="405"/>
      <c r="E109" s="405"/>
      <c r="F109" s="405"/>
      <c r="G109" s="405"/>
      <c r="H109" s="405"/>
      <c r="I109" s="405"/>
      <c r="J109" s="405"/>
      <c r="K109" s="405"/>
      <c r="L109" s="405"/>
    </row>
    <row r="110" spans="1:12" ht="13.25" customHeight="1">
      <c r="A110" s="411" t="s">
        <v>408</v>
      </c>
      <c r="B110" s="405"/>
      <c r="C110" s="405"/>
      <c r="D110" s="405"/>
      <c r="E110" s="405"/>
      <c r="F110" s="405"/>
      <c r="G110" s="405"/>
      <c r="H110" s="405"/>
      <c r="I110" s="405"/>
      <c r="J110" s="405"/>
      <c r="K110" s="405"/>
      <c r="L110" s="405"/>
    </row>
    <row r="111" spans="1:12" ht="13.25" customHeight="1">
      <c r="A111" s="410" t="s">
        <v>409</v>
      </c>
      <c r="B111" s="405"/>
      <c r="C111" s="405"/>
      <c r="D111" s="405"/>
      <c r="E111" s="405"/>
      <c r="F111" s="405"/>
      <c r="G111" s="405"/>
      <c r="H111" s="405"/>
      <c r="I111" s="405"/>
      <c r="J111" s="405"/>
      <c r="K111" s="405"/>
      <c r="L111" s="405"/>
    </row>
    <row r="112" spans="1:12" ht="13.25" customHeight="1"/>
    <row r="115" spans="1:12" ht="11.25" customHeight="1">
      <c r="A115" s="203"/>
      <c r="B115" s="204"/>
      <c r="C115" s="204"/>
      <c r="D115" s="204"/>
      <c r="E115" s="204"/>
      <c r="F115" s="204"/>
      <c r="G115" s="204"/>
      <c r="H115" s="204"/>
      <c r="I115" s="204"/>
      <c r="J115" s="204"/>
      <c r="K115" s="204"/>
      <c r="L115" s="204"/>
    </row>
    <row r="116" spans="1:12" ht="11.25" customHeight="1">
      <c r="A116" s="402" t="s">
        <v>389</v>
      </c>
      <c r="B116" s="403"/>
      <c r="C116" s="403"/>
      <c r="D116" s="403"/>
      <c r="E116" s="403"/>
      <c r="F116" s="403"/>
      <c r="G116" s="403"/>
      <c r="H116" s="403"/>
      <c r="I116" s="403"/>
      <c r="J116" s="403"/>
      <c r="K116" s="403"/>
      <c r="L116" s="403"/>
    </row>
    <row r="117" spans="1:12" ht="11.25" customHeight="1">
      <c r="A117" s="402" t="s">
        <v>366</v>
      </c>
      <c r="B117" s="403"/>
      <c r="C117" s="403"/>
      <c r="D117" s="403"/>
      <c r="E117" s="403"/>
      <c r="F117" s="403"/>
      <c r="G117" s="403"/>
      <c r="H117" s="403"/>
      <c r="I117" s="403"/>
      <c r="J117" s="403"/>
      <c r="K117" s="403"/>
      <c r="L117" s="403"/>
    </row>
    <row r="118" spans="1:12" ht="11.25" customHeight="1">
      <c r="A118" s="402"/>
      <c r="B118" s="403"/>
      <c r="C118" s="403"/>
      <c r="D118" s="403"/>
      <c r="E118" s="403"/>
      <c r="F118" s="403"/>
      <c r="G118" s="403"/>
      <c r="H118" s="403"/>
      <c r="I118" s="403"/>
      <c r="J118" s="403"/>
      <c r="K118" s="403"/>
      <c r="L118" s="403"/>
    </row>
    <row r="119" spans="1:12" ht="11.25" customHeight="1">
      <c r="A119" s="402" t="s">
        <v>0</v>
      </c>
      <c r="B119" s="403"/>
      <c r="C119" s="403"/>
      <c r="D119" s="403"/>
      <c r="E119" s="403"/>
      <c r="F119" s="403"/>
      <c r="G119" s="403"/>
      <c r="H119" s="403"/>
      <c r="I119" s="403"/>
      <c r="J119" s="403"/>
      <c r="K119" s="403"/>
      <c r="L119" s="403"/>
    </row>
    <row r="120" spans="1:12" ht="11.25" customHeight="1">
      <c r="A120" s="407"/>
      <c r="B120" s="408"/>
      <c r="C120" s="408"/>
      <c r="D120" s="408"/>
      <c r="E120" s="408"/>
      <c r="F120" s="408"/>
      <c r="G120" s="408"/>
      <c r="H120" s="408"/>
      <c r="I120" s="408"/>
      <c r="J120" s="408"/>
      <c r="K120" s="408"/>
      <c r="L120" s="408"/>
    </row>
    <row r="121" spans="1:12" ht="11.25" customHeight="1">
      <c r="A121" s="410" t="s">
        <v>410</v>
      </c>
      <c r="B121" s="405"/>
      <c r="C121" s="405"/>
      <c r="D121" s="405"/>
      <c r="E121" s="405"/>
      <c r="F121" s="405"/>
      <c r="G121" s="405"/>
      <c r="H121" s="405"/>
      <c r="I121" s="405"/>
      <c r="J121" s="405"/>
      <c r="K121" s="405"/>
      <c r="L121" s="405"/>
    </row>
    <row r="122" spans="1:12" ht="13.25" customHeight="1">
      <c r="A122" s="410" t="s">
        <v>411</v>
      </c>
      <c r="B122" s="405"/>
      <c r="C122" s="405"/>
      <c r="D122" s="405"/>
      <c r="E122" s="405"/>
      <c r="F122" s="405"/>
      <c r="G122" s="405"/>
      <c r="H122" s="405"/>
      <c r="I122" s="405"/>
      <c r="J122" s="405"/>
      <c r="K122" s="405"/>
      <c r="L122" s="405"/>
    </row>
    <row r="123" spans="1:12" ht="13.25" customHeight="1">
      <c r="A123" s="411" t="s">
        <v>412</v>
      </c>
      <c r="B123" s="413"/>
      <c r="C123" s="413"/>
      <c r="D123" s="413"/>
      <c r="E123" s="413"/>
      <c r="F123" s="413"/>
      <c r="G123" s="413"/>
      <c r="H123" s="413"/>
      <c r="I123" s="413"/>
      <c r="J123" s="413"/>
      <c r="K123" s="413"/>
      <c r="L123" s="413"/>
    </row>
    <row r="124" spans="1:12" ht="13.25" customHeight="1">
      <c r="A124" s="410" t="s">
        <v>413</v>
      </c>
      <c r="B124" s="405"/>
      <c r="C124" s="405"/>
      <c r="D124" s="405"/>
      <c r="E124" s="405"/>
      <c r="F124" s="405"/>
      <c r="G124" s="405"/>
      <c r="H124" s="405"/>
      <c r="I124" s="405"/>
      <c r="J124" s="405"/>
      <c r="K124" s="405"/>
      <c r="L124" s="405"/>
    </row>
    <row r="125" spans="1:12" ht="13.25" customHeight="1">
      <c r="A125" s="411" t="s">
        <v>414</v>
      </c>
      <c r="B125" s="405"/>
      <c r="C125" s="405"/>
      <c r="D125" s="405"/>
      <c r="E125" s="405"/>
      <c r="F125" s="405"/>
      <c r="G125" s="405"/>
      <c r="H125" s="405"/>
      <c r="I125" s="405"/>
      <c r="J125" s="405"/>
      <c r="K125" s="405"/>
      <c r="L125" s="405"/>
    </row>
    <row r="126" spans="1:12" ht="13.25" customHeight="1">
      <c r="A126" s="414" t="s">
        <v>415</v>
      </c>
      <c r="B126" s="405"/>
      <c r="C126" s="405"/>
      <c r="D126" s="405"/>
      <c r="E126" s="405"/>
      <c r="F126" s="405"/>
      <c r="G126" s="405"/>
      <c r="H126" s="405"/>
      <c r="I126" s="405"/>
      <c r="J126" s="405"/>
      <c r="K126" s="405"/>
      <c r="L126" s="405"/>
    </row>
    <row r="127" spans="1:12" ht="13.25" customHeight="1">
      <c r="A127" s="410" t="s">
        <v>416</v>
      </c>
      <c r="B127" s="405"/>
      <c r="C127" s="405"/>
      <c r="D127" s="405"/>
      <c r="E127" s="405"/>
      <c r="F127" s="405"/>
      <c r="G127" s="405"/>
      <c r="H127" s="405"/>
      <c r="I127" s="405"/>
      <c r="J127" s="405"/>
      <c r="K127" s="405"/>
      <c r="L127" s="405"/>
    </row>
    <row r="128" spans="1:12" ht="13.25" customHeight="1">
      <c r="A128" s="415" t="s">
        <v>417</v>
      </c>
      <c r="B128" s="405"/>
      <c r="C128" s="405"/>
      <c r="D128" s="405"/>
      <c r="E128" s="405"/>
      <c r="F128" s="405"/>
      <c r="G128" s="405"/>
      <c r="H128" s="405"/>
      <c r="I128" s="405"/>
      <c r="J128" s="405"/>
      <c r="K128" s="405"/>
      <c r="L128" s="405"/>
    </row>
    <row r="129" spans="1:12" ht="13.25" customHeight="1">
      <c r="A129" s="410" t="s">
        <v>418</v>
      </c>
      <c r="B129" s="405"/>
      <c r="C129" s="405"/>
      <c r="D129" s="405"/>
      <c r="E129" s="405"/>
      <c r="F129" s="405"/>
      <c r="G129" s="405"/>
      <c r="H129" s="405"/>
      <c r="I129" s="405"/>
      <c r="J129" s="405"/>
      <c r="K129" s="405"/>
      <c r="L129" s="405"/>
    </row>
    <row r="130" spans="1:12" ht="13.25" customHeight="1">
      <c r="A130" s="412" t="s">
        <v>419</v>
      </c>
      <c r="B130" s="412"/>
      <c r="C130" s="412"/>
      <c r="D130" s="412"/>
      <c r="E130" s="412"/>
      <c r="F130" s="412"/>
      <c r="G130" s="412"/>
      <c r="H130" s="412"/>
      <c r="I130" s="412"/>
      <c r="J130" s="412"/>
      <c r="K130" s="412"/>
      <c r="L130" s="412"/>
    </row>
  </sheetData>
  <mergeCells count="30">
    <mergeCell ref="A130:L130"/>
    <mergeCell ref="A119:L119"/>
    <mergeCell ref="A120:L120"/>
    <mergeCell ref="A121:L121"/>
    <mergeCell ref="A122:L122"/>
    <mergeCell ref="A123:L123"/>
    <mergeCell ref="A124:L124"/>
    <mergeCell ref="A125:L125"/>
    <mergeCell ref="A126:L126"/>
    <mergeCell ref="A127:L127"/>
    <mergeCell ref="A128:L128"/>
    <mergeCell ref="A129:L129"/>
    <mergeCell ref="A118:L118"/>
    <mergeCell ref="A62:L62"/>
    <mergeCell ref="A63:L63"/>
    <mergeCell ref="A64:L64"/>
    <mergeCell ref="A65:L65"/>
    <mergeCell ref="A66:L66"/>
    <mergeCell ref="A108:L108"/>
    <mergeCell ref="A109:L109"/>
    <mergeCell ref="A110:L110"/>
    <mergeCell ref="A111:L111"/>
    <mergeCell ref="A116:L116"/>
    <mergeCell ref="A117:L117"/>
    <mergeCell ref="A56:L56"/>
    <mergeCell ref="A1:L1"/>
    <mergeCell ref="A2:L2"/>
    <mergeCell ref="A3:L3"/>
    <mergeCell ref="A4:L4"/>
    <mergeCell ref="A5:L5"/>
  </mergeCells>
  <pageMargins left="0.75" right="0.75" top="1" bottom="1" header="0.5" footer="0.5"/>
  <pageSetup orientation="portrait" horizontalDpi="1200" verticalDpi="12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73966-0051-484A-BA83-2C4FEBB04D0D}">
  <dimension ref="A1:L114"/>
  <sheetViews>
    <sheetView zoomScale="200" workbookViewId="0">
      <selection activeCell="A6" sqref="A6:L96"/>
    </sheetView>
  </sheetViews>
  <sheetFormatPr baseColWidth="10" defaultRowHeight="11"/>
  <cols>
    <col min="1" max="1" width="24.83203125" style="165" customWidth="1"/>
    <col min="2" max="2" width="1.1640625" style="165" customWidth="1"/>
    <col min="3" max="3" width="6.1640625" style="165" customWidth="1"/>
    <col min="4" max="4" width="2.83203125" style="165" customWidth="1"/>
    <col min="5" max="5" width="6.1640625" style="165" customWidth="1"/>
    <col min="6" max="6" width="2.83203125" style="165" customWidth="1"/>
    <col min="7" max="7" width="6.1640625" style="165" customWidth="1"/>
    <col min="8" max="8" width="2.83203125" style="165" customWidth="1"/>
    <col min="9" max="9" width="6.1640625" style="165" customWidth="1"/>
    <col min="10" max="10" width="2.83203125" style="165" customWidth="1"/>
    <col min="11" max="11" width="6.1640625" style="165" customWidth="1"/>
    <col min="12" max="12" width="1.83203125" style="165" customWidth="1"/>
    <col min="13" max="256" width="5.83203125" style="165" customWidth="1"/>
    <col min="257" max="257" width="24.83203125" style="165" customWidth="1"/>
    <col min="258" max="258" width="1.1640625" style="165" customWidth="1"/>
    <col min="259" max="259" width="6.1640625" style="165" customWidth="1"/>
    <col min="260" max="260" width="2.83203125" style="165" customWidth="1"/>
    <col min="261" max="261" width="6.1640625" style="165" customWidth="1"/>
    <col min="262" max="262" width="2.83203125" style="165" customWidth="1"/>
    <col min="263" max="263" width="6.1640625" style="165" customWidth="1"/>
    <col min="264" max="264" width="2.83203125" style="165" customWidth="1"/>
    <col min="265" max="265" width="6.1640625" style="165" customWidth="1"/>
    <col min="266" max="266" width="2.83203125" style="165" customWidth="1"/>
    <col min="267" max="267" width="6.1640625" style="165" customWidth="1"/>
    <col min="268" max="268" width="1.83203125" style="165" customWidth="1"/>
    <col min="269" max="512" width="5.83203125" style="165" customWidth="1"/>
    <col min="513" max="513" width="24.83203125" style="165" customWidth="1"/>
    <col min="514" max="514" width="1.1640625" style="165" customWidth="1"/>
    <col min="515" max="515" width="6.1640625" style="165" customWidth="1"/>
    <col min="516" max="516" width="2.83203125" style="165" customWidth="1"/>
    <col min="517" max="517" width="6.1640625" style="165" customWidth="1"/>
    <col min="518" max="518" width="2.83203125" style="165" customWidth="1"/>
    <col min="519" max="519" width="6.1640625" style="165" customWidth="1"/>
    <col min="520" max="520" width="2.83203125" style="165" customWidth="1"/>
    <col min="521" max="521" width="6.1640625" style="165" customWidth="1"/>
    <col min="522" max="522" width="2.83203125" style="165" customWidth="1"/>
    <col min="523" max="523" width="6.1640625" style="165" customWidth="1"/>
    <col min="524" max="524" width="1.83203125" style="165" customWidth="1"/>
    <col min="525" max="768" width="5.83203125" style="165" customWidth="1"/>
    <col min="769" max="769" width="24.83203125" style="165" customWidth="1"/>
    <col min="770" max="770" width="1.1640625" style="165" customWidth="1"/>
    <col min="771" max="771" width="6.1640625" style="165" customWidth="1"/>
    <col min="772" max="772" width="2.83203125" style="165" customWidth="1"/>
    <col min="773" max="773" width="6.1640625" style="165" customWidth="1"/>
    <col min="774" max="774" width="2.83203125" style="165" customWidth="1"/>
    <col min="775" max="775" width="6.1640625" style="165" customWidth="1"/>
    <col min="776" max="776" width="2.83203125" style="165" customWidth="1"/>
    <col min="777" max="777" width="6.1640625" style="165" customWidth="1"/>
    <col min="778" max="778" width="2.83203125" style="165" customWidth="1"/>
    <col min="779" max="779" width="6.1640625" style="165" customWidth="1"/>
    <col min="780" max="780" width="1.83203125" style="165" customWidth="1"/>
    <col min="781" max="1024" width="5.83203125" style="165" customWidth="1"/>
    <col min="1025" max="1025" width="24.83203125" style="165" customWidth="1"/>
    <col min="1026" max="1026" width="1.1640625" style="165" customWidth="1"/>
    <col min="1027" max="1027" width="6.1640625" style="165" customWidth="1"/>
    <col min="1028" max="1028" width="2.83203125" style="165" customWidth="1"/>
    <col min="1029" max="1029" width="6.1640625" style="165" customWidth="1"/>
    <col min="1030" max="1030" width="2.83203125" style="165" customWidth="1"/>
    <col min="1031" max="1031" width="6.1640625" style="165" customWidth="1"/>
    <col min="1032" max="1032" width="2.83203125" style="165" customWidth="1"/>
    <col min="1033" max="1033" width="6.1640625" style="165" customWidth="1"/>
    <col min="1034" max="1034" width="2.83203125" style="165" customWidth="1"/>
    <col min="1035" max="1035" width="6.1640625" style="165" customWidth="1"/>
    <col min="1036" max="1036" width="1.83203125" style="165" customWidth="1"/>
    <col min="1037" max="1280" width="5.83203125" style="165" customWidth="1"/>
    <col min="1281" max="1281" width="24.83203125" style="165" customWidth="1"/>
    <col min="1282" max="1282" width="1.1640625" style="165" customWidth="1"/>
    <col min="1283" max="1283" width="6.1640625" style="165" customWidth="1"/>
    <col min="1284" max="1284" width="2.83203125" style="165" customWidth="1"/>
    <col min="1285" max="1285" width="6.1640625" style="165" customWidth="1"/>
    <col min="1286" max="1286" width="2.83203125" style="165" customWidth="1"/>
    <col min="1287" max="1287" width="6.1640625" style="165" customWidth="1"/>
    <col min="1288" max="1288" width="2.83203125" style="165" customWidth="1"/>
    <col min="1289" max="1289" width="6.1640625" style="165" customWidth="1"/>
    <col min="1290" max="1290" width="2.83203125" style="165" customWidth="1"/>
    <col min="1291" max="1291" width="6.1640625" style="165" customWidth="1"/>
    <col min="1292" max="1292" width="1.83203125" style="165" customWidth="1"/>
    <col min="1293" max="1536" width="5.83203125" style="165" customWidth="1"/>
    <col min="1537" max="1537" width="24.83203125" style="165" customWidth="1"/>
    <col min="1538" max="1538" width="1.1640625" style="165" customWidth="1"/>
    <col min="1539" max="1539" width="6.1640625" style="165" customWidth="1"/>
    <col min="1540" max="1540" width="2.83203125" style="165" customWidth="1"/>
    <col min="1541" max="1541" width="6.1640625" style="165" customWidth="1"/>
    <col min="1542" max="1542" width="2.83203125" style="165" customWidth="1"/>
    <col min="1543" max="1543" width="6.1640625" style="165" customWidth="1"/>
    <col min="1544" max="1544" width="2.83203125" style="165" customWidth="1"/>
    <col min="1545" max="1545" width="6.1640625" style="165" customWidth="1"/>
    <col min="1546" max="1546" width="2.83203125" style="165" customWidth="1"/>
    <col min="1547" max="1547" width="6.1640625" style="165" customWidth="1"/>
    <col min="1548" max="1548" width="1.83203125" style="165" customWidth="1"/>
    <col min="1549" max="1792" width="5.83203125" style="165" customWidth="1"/>
    <col min="1793" max="1793" width="24.83203125" style="165" customWidth="1"/>
    <col min="1794" max="1794" width="1.1640625" style="165" customWidth="1"/>
    <col min="1795" max="1795" width="6.1640625" style="165" customWidth="1"/>
    <col min="1796" max="1796" width="2.83203125" style="165" customWidth="1"/>
    <col min="1797" max="1797" width="6.1640625" style="165" customWidth="1"/>
    <col min="1798" max="1798" width="2.83203125" style="165" customWidth="1"/>
    <col min="1799" max="1799" width="6.1640625" style="165" customWidth="1"/>
    <col min="1800" max="1800" width="2.83203125" style="165" customWidth="1"/>
    <col min="1801" max="1801" width="6.1640625" style="165" customWidth="1"/>
    <col min="1802" max="1802" width="2.83203125" style="165" customWidth="1"/>
    <col min="1803" max="1803" width="6.1640625" style="165" customWidth="1"/>
    <col min="1804" max="1804" width="1.83203125" style="165" customWidth="1"/>
    <col min="1805" max="2048" width="5.83203125" style="165" customWidth="1"/>
    <col min="2049" max="2049" width="24.83203125" style="165" customWidth="1"/>
    <col min="2050" max="2050" width="1.1640625" style="165" customWidth="1"/>
    <col min="2051" max="2051" width="6.1640625" style="165" customWidth="1"/>
    <col min="2052" max="2052" width="2.83203125" style="165" customWidth="1"/>
    <col min="2053" max="2053" width="6.1640625" style="165" customWidth="1"/>
    <col min="2054" max="2054" width="2.83203125" style="165" customWidth="1"/>
    <col min="2055" max="2055" width="6.1640625" style="165" customWidth="1"/>
    <col min="2056" max="2056" width="2.83203125" style="165" customWidth="1"/>
    <col min="2057" max="2057" width="6.1640625" style="165" customWidth="1"/>
    <col min="2058" max="2058" width="2.83203125" style="165" customWidth="1"/>
    <col min="2059" max="2059" width="6.1640625" style="165" customWidth="1"/>
    <col min="2060" max="2060" width="1.83203125" style="165" customWidth="1"/>
    <col min="2061" max="2304" width="5.83203125" style="165" customWidth="1"/>
    <col min="2305" max="2305" width="24.83203125" style="165" customWidth="1"/>
    <col min="2306" max="2306" width="1.1640625" style="165" customWidth="1"/>
    <col min="2307" max="2307" width="6.1640625" style="165" customWidth="1"/>
    <col min="2308" max="2308" width="2.83203125" style="165" customWidth="1"/>
    <col min="2309" max="2309" width="6.1640625" style="165" customWidth="1"/>
    <col min="2310" max="2310" width="2.83203125" style="165" customWidth="1"/>
    <col min="2311" max="2311" width="6.1640625" style="165" customWidth="1"/>
    <col min="2312" max="2312" width="2.83203125" style="165" customWidth="1"/>
    <col min="2313" max="2313" width="6.1640625" style="165" customWidth="1"/>
    <col min="2314" max="2314" width="2.83203125" style="165" customWidth="1"/>
    <col min="2315" max="2315" width="6.1640625" style="165" customWidth="1"/>
    <col min="2316" max="2316" width="1.83203125" style="165" customWidth="1"/>
    <col min="2317" max="2560" width="5.83203125" style="165" customWidth="1"/>
    <col min="2561" max="2561" width="24.83203125" style="165" customWidth="1"/>
    <col min="2562" max="2562" width="1.1640625" style="165" customWidth="1"/>
    <col min="2563" max="2563" width="6.1640625" style="165" customWidth="1"/>
    <col min="2564" max="2564" width="2.83203125" style="165" customWidth="1"/>
    <col min="2565" max="2565" width="6.1640625" style="165" customWidth="1"/>
    <col min="2566" max="2566" width="2.83203125" style="165" customWidth="1"/>
    <col min="2567" max="2567" width="6.1640625" style="165" customWidth="1"/>
    <col min="2568" max="2568" width="2.83203125" style="165" customWidth="1"/>
    <col min="2569" max="2569" width="6.1640625" style="165" customWidth="1"/>
    <col min="2570" max="2570" width="2.83203125" style="165" customWidth="1"/>
    <col min="2571" max="2571" width="6.1640625" style="165" customWidth="1"/>
    <col min="2572" max="2572" width="1.83203125" style="165" customWidth="1"/>
    <col min="2573" max="2816" width="5.83203125" style="165" customWidth="1"/>
    <col min="2817" max="2817" width="24.83203125" style="165" customWidth="1"/>
    <col min="2818" max="2818" width="1.1640625" style="165" customWidth="1"/>
    <col min="2819" max="2819" width="6.1640625" style="165" customWidth="1"/>
    <col min="2820" max="2820" width="2.83203125" style="165" customWidth="1"/>
    <col min="2821" max="2821" width="6.1640625" style="165" customWidth="1"/>
    <col min="2822" max="2822" width="2.83203125" style="165" customWidth="1"/>
    <col min="2823" max="2823" width="6.1640625" style="165" customWidth="1"/>
    <col min="2824" max="2824" width="2.83203125" style="165" customWidth="1"/>
    <col min="2825" max="2825" width="6.1640625" style="165" customWidth="1"/>
    <col min="2826" max="2826" width="2.83203125" style="165" customWidth="1"/>
    <col min="2827" max="2827" width="6.1640625" style="165" customWidth="1"/>
    <col min="2828" max="2828" width="1.83203125" style="165" customWidth="1"/>
    <col min="2829" max="3072" width="5.83203125" style="165" customWidth="1"/>
    <col min="3073" max="3073" width="24.83203125" style="165" customWidth="1"/>
    <col min="3074" max="3074" width="1.1640625" style="165" customWidth="1"/>
    <col min="3075" max="3075" width="6.1640625" style="165" customWidth="1"/>
    <col min="3076" max="3076" width="2.83203125" style="165" customWidth="1"/>
    <col min="3077" max="3077" width="6.1640625" style="165" customWidth="1"/>
    <col min="3078" max="3078" width="2.83203125" style="165" customWidth="1"/>
    <col min="3079" max="3079" width="6.1640625" style="165" customWidth="1"/>
    <col min="3080" max="3080" width="2.83203125" style="165" customWidth="1"/>
    <col min="3081" max="3081" width="6.1640625" style="165" customWidth="1"/>
    <col min="3082" max="3082" width="2.83203125" style="165" customWidth="1"/>
    <col min="3083" max="3083" width="6.1640625" style="165" customWidth="1"/>
    <col min="3084" max="3084" width="1.83203125" style="165" customWidth="1"/>
    <col min="3085" max="3328" width="5.83203125" style="165" customWidth="1"/>
    <col min="3329" max="3329" width="24.83203125" style="165" customWidth="1"/>
    <col min="3330" max="3330" width="1.1640625" style="165" customWidth="1"/>
    <col min="3331" max="3331" width="6.1640625" style="165" customWidth="1"/>
    <col min="3332" max="3332" width="2.83203125" style="165" customWidth="1"/>
    <col min="3333" max="3333" width="6.1640625" style="165" customWidth="1"/>
    <col min="3334" max="3334" width="2.83203125" style="165" customWidth="1"/>
    <col min="3335" max="3335" width="6.1640625" style="165" customWidth="1"/>
    <col min="3336" max="3336" width="2.83203125" style="165" customWidth="1"/>
    <col min="3337" max="3337" width="6.1640625" style="165" customWidth="1"/>
    <col min="3338" max="3338" width="2.83203125" style="165" customWidth="1"/>
    <col min="3339" max="3339" width="6.1640625" style="165" customWidth="1"/>
    <col min="3340" max="3340" width="1.83203125" style="165" customWidth="1"/>
    <col min="3341" max="3584" width="5.83203125" style="165" customWidth="1"/>
    <col min="3585" max="3585" width="24.83203125" style="165" customWidth="1"/>
    <col min="3586" max="3586" width="1.1640625" style="165" customWidth="1"/>
    <col min="3587" max="3587" width="6.1640625" style="165" customWidth="1"/>
    <col min="3588" max="3588" width="2.83203125" style="165" customWidth="1"/>
    <col min="3589" max="3589" width="6.1640625" style="165" customWidth="1"/>
    <col min="3590" max="3590" width="2.83203125" style="165" customWidth="1"/>
    <col min="3591" max="3591" width="6.1640625" style="165" customWidth="1"/>
    <col min="3592" max="3592" width="2.83203125" style="165" customWidth="1"/>
    <col min="3593" max="3593" width="6.1640625" style="165" customWidth="1"/>
    <col min="3594" max="3594" width="2.83203125" style="165" customWidth="1"/>
    <col min="3595" max="3595" width="6.1640625" style="165" customWidth="1"/>
    <col min="3596" max="3596" width="1.83203125" style="165" customWidth="1"/>
    <col min="3597" max="3840" width="5.83203125" style="165" customWidth="1"/>
    <col min="3841" max="3841" width="24.83203125" style="165" customWidth="1"/>
    <col min="3842" max="3842" width="1.1640625" style="165" customWidth="1"/>
    <col min="3843" max="3843" width="6.1640625" style="165" customWidth="1"/>
    <col min="3844" max="3844" width="2.83203125" style="165" customWidth="1"/>
    <col min="3845" max="3845" width="6.1640625" style="165" customWidth="1"/>
    <col min="3846" max="3846" width="2.83203125" style="165" customWidth="1"/>
    <col min="3847" max="3847" width="6.1640625" style="165" customWidth="1"/>
    <col min="3848" max="3848" width="2.83203125" style="165" customWidth="1"/>
    <col min="3849" max="3849" width="6.1640625" style="165" customWidth="1"/>
    <col min="3850" max="3850" width="2.83203125" style="165" customWidth="1"/>
    <col min="3851" max="3851" width="6.1640625" style="165" customWidth="1"/>
    <col min="3852" max="3852" width="1.83203125" style="165" customWidth="1"/>
    <col min="3853" max="4096" width="5.83203125" style="165" customWidth="1"/>
    <col min="4097" max="4097" width="24.83203125" style="165" customWidth="1"/>
    <col min="4098" max="4098" width="1.1640625" style="165" customWidth="1"/>
    <col min="4099" max="4099" width="6.1640625" style="165" customWidth="1"/>
    <col min="4100" max="4100" width="2.83203125" style="165" customWidth="1"/>
    <col min="4101" max="4101" width="6.1640625" style="165" customWidth="1"/>
    <col min="4102" max="4102" width="2.83203125" style="165" customWidth="1"/>
    <col min="4103" max="4103" width="6.1640625" style="165" customWidth="1"/>
    <col min="4104" max="4104" width="2.83203125" style="165" customWidth="1"/>
    <col min="4105" max="4105" width="6.1640625" style="165" customWidth="1"/>
    <col min="4106" max="4106" width="2.83203125" style="165" customWidth="1"/>
    <col min="4107" max="4107" width="6.1640625" style="165" customWidth="1"/>
    <col min="4108" max="4108" width="1.83203125" style="165" customWidth="1"/>
    <col min="4109" max="4352" width="5.83203125" style="165" customWidth="1"/>
    <col min="4353" max="4353" width="24.83203125" style="165" customWidth="1"/>
    <col min="4354" max="4354" width="1.1640625" style="165" customWidth="1"/>
    <col min="4355" max="4355" width="6.1640625" style="165" customWidth="1"/>
    <col min="4356" max="4356" width="2.83203125" style="165" customWidth="1"/>
    <col min="4357" max="4357" width="6.1640625" style="165" customWidth="1"/>
    <col min="4358" max="4358" width="2.83203125" style="165" customWidth="1"/>
    <col min="4359" max="4359" width="6.1640625" style="165" customWidth="1"/>
    <col min="4360" max="4360" width="2.83203125" style="165" customWidth="1"/>
    <col min="4361" max="4361" width="6.1640625" style="165" customWidth="1"/>
    <col min="4362" max="4362" width="2.83203125" style="165" customWidth="1"/>
    <col min="4363" max="4363" width="6.1640625" style="165" customWidth="1"/>
    <col min="4364" max="4364" width="1.83203125" style="165" customWidth="1"/>
    <col min="4365" max="4608" width="5.83203125" style="165" customWidth="1"/>
    <col min="4609" max="4609" width="24.83203125" style="165" customWidth="1"/>
    <col min="4610" max="4610" width="1.1640625" style="165" customWidth="1"/>
    <col min="4611" max="4611" width="6.1640625" style="165" customWidth="1"/>
    <col min="4612" max="4612" width="2.83203125" style="165" customWidth="1"/>
    <col min="4613" max="4613" width="6.1640625" style="165" customWidth="1"/>
    <col min="4614" max="4614" width="2.83203125" style="165" customWidth="1"/>
    <col min="4615" max="4615" width="6.1640625" style="165" customWidth="1"/>
    <col min="4616" max="4616" width="2.83203125" style="165" customWidth="1"/>
    <col min="4617" max="4617" width="6.1640625" style="165" customWidth="1"/>
    <col min="4618" max="4618" width="2.83203125" style="165" customWidth="1"/>
    <col min="4619" max="4619" width="6.1640625" style="165" customWidth="1"/>
    <col min="4620" max="4620" width="1.83203125" style="165" customWidth="1"/>
    <col min="4621" max="4864" width="5.83203125" style="165" customWidth="1"/>
    <col min="4865" max="4865" width="24.83203125" style="165" customWidth="1"/>
    <col min="4866" max="4866" width="1.1640625" style="165" customWidth="1"/>
    <col min="4867" max="4867" width="6.1640625" style="165" customWidth="1"/>
    <col min="4868" max="4868" width="2.83203125" style="165" customWidth="1"/>
    <col min="4869" max="4869" width="6.1640625" style="165" customWidth="1"/>
    <col min="4870" max="4870" width="2.83203125" style="165" customWidth="1"/>
    <col min="4871" max="4871" width="6.1640625" style="165" customWidth="1"/>
    <col min="4872" max="4872" width="2.83203125" style="165" customWidth="1"/>
    <col min="4873" max="4873" width="6.1640625" style="165" customWidth="1"/>
    <col min="4874" max="4874" width="2.83203125" style="165" customWidth="1"/>
    <col min="4875" max="4875" width="6.1640625" style="165" customWidth="1"/>
    <col min="4876" max="4876" width="1.83203125" style="165" customWidth="1"/>
    <col min="4877" max="5120" width="5.83203125" style="165" customWidth="1"/>
    <col min="5121" max="5121" width="24.83203125" style="165" customWidth="1"/>
    <col min="5122" max="5122" width="1.1640625" style="165" customWidth="1"/>
    <col min="5123" max="5123" width="6.1640625" style="165" customWidth="1"/>
    <col min="5124" max="5124" width="2.83203125" style="165" customWidth="1"/>
    <col min="5125" max="5125" width="6.1640625" style="165" customWidth="1"/>
    <col min="5126" max="5126" width="2.83203125" style="165" customWidth="1"/>
    <col min="5127" max="5127" width="6.1640625" style="165" customWidth="1"/>
    <col min="5128" max="5128" width="2.83203125" style="165" customWidth="1"/>
    <col min="5129" max="5129" width="6.1640625" style="165" customWidth="1"/>
    <col min="5130" max="5130" width="2.83203125" style="165" customWidth="1"/>
    <col min="5131" max="5131" width="6.1640625" style="165" customWidth="1"/>
    <col min="5132" max="5132" width="1.83203125" style="165" customWidth="1"/>
    <col min="5133" max="5376" width="5.83203125" style="165" customWidth="1"/>
    <col min="5377" max="5377" width="24.83203125" style="165" customWidth="1"/>
    <col min="5378" max="5378" width="1.1640625" style="165" customWidth="1"/>
    <col min="5379" max="5379" width="6.1640625" style="165" customWidth="1"/>
    <col min="5380" max="5380" width="2.83203125" style="165" customWidth="1"/>
    <col min="5381" max="5381" width="6.1640625" style="165" customWidth="1"/>
    <col min="5382" max="5382" width="2.83203125" style="165" customWidth="1"/>
    <col min="5383" max="5383" width="6.1640625" style="165" customWidth="1"/>
    <col min="5384" max="5384" width="2.83203125" style="165" customWidth="1"/>
    <col min="5385" max="5385" width="6.1640625" style="165" customWidth="1"/>
    <col min="5386" max="5386" width="2.83203125" style="165" customWidth="1"/>
    <col min="5387" max="5387" width="6.1640625" style="165" customWidth="1"/>
    <col min="5388" max="5388" width="1.83203125" style="165" customWidth="1"/>
    <col min="5389" max="5632" width="5.83203125" style="165" customWidth="1"/>
    <col min="5633" max="5633" width="24.83203125" style="165" customWidth="1"/>
    <col min="5634" max="5634" width="1.1640625" style="165" customWidth="1"/>
    <col min="5635" max="5635" width="6.1640625" style="165" customWidth="1"/>
    <col min="5636" max="5636" width="2.83203125" style="165" customWidth="1"/>
    <col min="5637" max="5637" width="6.1640625" style="165" customWidth="1"/>
    <col min="5638" max="5638" width="2.83203125" style="165" customWidth="1"/>
    <col min="5639" max="5639" width="6.1640625" style="165" customWidth="1"/>
    <col min="5640" max="5640" width="2.83203125" style="165" customWidth="1"/>
    <col min="5641" max="5641" width="6.1640625" style="165" customWidth="1"/>
    <col min="5642" max="5642" width="2.83203125" style="165" customWidth="1"/>
    <col min="5643" max="5643" width="6.1640625" style="165" customWidth="1"/>
    <col min="5644" max="5644" width="1.83203125" style="165" customWidth="1"/>
    <col min="5645" max="5888" width="5.83203125" style="165" customWidth="1"/>
    <col min="5889" max="5889" width="24.83203125" style="165" customWidth="1"/>
    <col min="5890" max="5890" width="1.1640625" style="165" customWidth="1"/>
    <col min="5891" max="5891" width="6.1640625" style="165" customWidth="1"/>
    <col min="5892" max="5892" width="2.83203125" style="165" customWidth="1"/>
    <col min="5893" max="5893" width="6.1640625" style="165" customWidth="1"/>
    <col min="5894" max="5894" width="2.83203125" style="165" customWidth="1"/>
    <col min="5895" max="5895" width="6.1640625" style="165" customWidth="1"/>
    <col min="5896" max="5896" width="2.83203125" style="165" customWidth="1"/>
    <col min="5897" max="5897" width="6.1640625" style="165" customWidth="1"/>
    <col min="5898" max="5898" width="2.83203125" style="165" customWidth="1"/>
    <col min="5899" max="5899" width="6.1640625" style="165" customWidth="1"/>
    <col min="5900" max="5900" width="1.83203125" style="165" customWidth="1"/>
    <col min="5901" max="6144" width="5.83203125" style="165" customWidth="1"/>
    <col min="6145" max="6145" width="24.83203125" style="165" customWidth="1"/>
    <col min="6146" max="6146" width="1.1640625" style="165" customWidth="1"/>
    <col min="6147" max="6147" width="6.1640625" style="165" customWidth="1"/>
    <col min="6148" max="6148" width="2.83203125" style="165" customWidth="1"/>
    <col min="6149" max="6149" width="6.1640625" style="165" customWidth="1"/>
    <col min="6150" max="6150" width="2.83203125" style="165" customWidth="1"/>
    <col min="6151" max="6151" width="6.1640625" style="165" customWidth="1"/>
    <col min="6152" max="6152" width="2.83203125" style="165" customWidth="1"/>
    <col min="6153" max="6153" width="6.1640625" style="165" customWidth="1"/>
    <col min="6154" max="6154" width="2.83203125" style="165" customWidth="1"/>
    <col min="6155" max="6155" width="6.1640625" style="165" customWidth="1"/>
    <col min="6156" max="6156" width="1.83203125" style="165" customWidth="1"/>
    <col min="6157" max="6400" width="5.83203125" style="165" customWidth="1"/>
    <col min="6401" max="6401" width="24.83203125" style="165" customWidth="1"/>
    <col min="6402" max="6402" width="1.1640625" style="165" customWidth="1"/>
    <col min="6403" max="6403" width="6.1640625" style="165" customWidth="1"/>
    <col min="6404" max="6404" width="2.83203125" style="165" customWidth="1"/>
    <col min="6405" max="6405" width="6.1640625" style="165" customWidth="1"/>
    <col min="6406" max="6406" width="2.83203125" style="165" customWidth="1"/>
    <col min="6407" max="6407" width="6.1640625" style="165" customWidth="1"/>
    <col min="6408" max="6408" width="2.83203125" style="165" customWidth="1"/>
    <col min="6409" max="6409" width="6.1640625" style="165" customWidth="1"/>
    <col min="6410" max="6410" width="2.83203125" style="165" customWidth="1"/>
    <col min="6411" max="6411" width="6.1640625" style="165" customWidth="1"/>
    <col min="6412" max="6412" width="1.83203125" style="165" customWidth="1"/>
    <col min="6413" max="6656" width="5.83203125" style="165" customWidth="1"/>
    <col min="6657" max="6657" width="24.83203125" style="165" customWidth="1"/>
    <col min="6658" max="6658" width="1.1640625" style="165" customWidth="1"/>
    <col min="6659" max="6659" width="6.1640625" style="165" customWidth="1"/>
    <col min="6660" max="6660" width="2.83203125" style="165" customWidth="1"/>
    <col min="6661" max="6661" width="6.1640625" style="165" customWidth="1"/>
    <col min="6662" max="6662" width="2.83203125" style="165" customWidth="1"/>
    <col min="6663" max="6663" width="6.1640625" style="165" customWidth="1"/>
    <col min="6664" max="6664" width="2.83203125" style="165" customWidth="1"/>
    <col min="6665" max="6665" width="6.1640625" style="165" customWidth="1"/>
    <col min="6666" max="6666" width="2.83203125" style="165" customWidth="1"/>
    <col min="6667" max="6667" width="6.1640625" style="165" customWidth="1"/>
    <col min="6668" max="6668" width="1.83203125" style="165" customWidth="1"/>
    <col min="6669" max="6912" width="5.83203125" style="165" customWidth="1"/>
    <col min="6913" max="6913" width="24.83203125" style="165" customWidth="1"/>
    <col min="6914" max="6914" width="1.1640625" style="165" customWidth="1"/>
    <col min="6915" max="6915" width="6.1640625" style="165" customWidth="1"/>
    <col min="6916" max="6916" width="2.83203125" style="165" customWidth="1"/>
    <col min="6917" max="6917" width="6.1640625" style="165" customWidth="1"/>
    <col min="6918" max="6918" width="2.83203125" style="165" customWidth="1"/>
    <col min="6919" max="6919" width="6.1640625" style="165" customWidth="1"/>
    <col min="6920" max="6920" width="2.83203125" style="165" customWidth="1"/>
    <col min="6921" max="6921" width="6.1640625" style="165" customWidth="1"/>
    <col min="6922" max="6922" width="2.83203125" style="165" customWidth="1"/>
    <col min="6923" max="6923" width="6.1640625" style="165" customWidth="1"/>
    <col min="6924" max="6924" width="1.83203125" style="165" customWidth="1"/>
    <col min="6925" max="7168" width="5.83203125" style="165" customWidth="1"/>
    <col min="7169" max="7169" width="24.83203125" style="165" customWidth="1"/>
    <col min="7170" max="7170" width="1.1640625" style="165" customWidth="1"/>
    <col min="7171" max="7171" width="6.1640625" style="165" customWidth="1"/>
    <col min="7172" max="7172" width="2.83203125" style="165" customWidth="1"/>
    <col min="7173" max="7173" width="6.1640625" style="165" customWidth="1"/>
    <col min="7174" max="7174" width="2.83203125" style="165" customWidth="1"/>
    <col min="7175" max="7175" width="6.1640625" style="165" customWidth="1"/>
    <col min="7176" max="7176" width="2.83203125" style="165" customWidth="1"/>
    <col min="7177" max="7177" width="6.1640625" style="165" customWidth="1"/>
    <col min="7178" max="7178" width="2.83203125" style="165" customWidth="1"/>
    <col min="7179" max="7179" width="6.1640625" style="165" customWidth="1"/>
    <col min="7180" max="7180" width="1.83203125" style="165" customWidth="1"/>
    <col min="7181" max="7424" width="5.83203125" style="165" customWidth="1"/>
    <col min="7425" max="7425" width="24.83203125" style="165" customWidth="1"/>
    <col min="7426" max="7426" width="1.1640625" style="165" customWidth="1"/>
    <col min="7427" max="7427" width="6.1640625" style="165" customWidth="1"/>
    <col min="7428" max="7428" width="2.83203125" style="165" customWidth="1"/>
    <col min="7429" max="7429" width="6.1640625" style="165" customWidth="1"/>
    <col min="7430" max="7430" width="2.83203125" style="165" customWidth="1"/>
    <col min="7431" max="7431" width="6.1640625" style="165" customWidth="1"/>
    <col min="7432" max="7432" width="2.83203125" style="165" customWidth="1"/>
    <col min="7433" max="7433" width="6.1640625" style="165" customWidth="1"/>
    <col min="7434" max="7434" width="2.83203125" style="165" customWidth="1"/>
    <col min="7435" max="7435" width="6.1640625" style="165" customWidth="1"/>
    <col min="7436" max="7436" width="1.83203125" style="165" customWidth="1"/>
    <col min="7437" max="7680" width="5.83203125" style="165" customWidth="1"/>
    <col min="7681" max="7681" width="24.83203125" style="165" customWidth="1"/>
    <col min="7682" max="7682" width="1.1640625" style="165" customWidth="1"/>
    <col min="7683" max="7683" width="6.1640625" style="165" customWidth="1"/>
    <col min="7684" max="7684" width="2.83203125" style="165" customWidth="1"/>
    <col min="7685" max="7685" width="6.1640625" style="165" customWidth="1"/>
    <col min="7686" max="7686" width="2.83203125" style="165" customWidth="1"/>
    <col min="7687" max="7687" width="6.1640625" style="165" customWidth="1"/>
    <col min="7688" max="7688" width="2.83203125" style="165" customWidth="1"/>
    <col min="7689" max="7689" width="6.1640625" style="165" customWidth="1"/>
    <col min="7690" max="7690" width="2.83203125" style="165" customWidth="1"/>
    <col min="7691" max="7691" width="6.1640625" style="165" customWidth="1"/>
    <col min="7692" max="7692" width="1.83203125" style="165" customWidth="1"/>
    <col min="7693" max="7936" width="5.83203125" style="165" customWidth="1"/>
    <col min="7937" max="7937" width="24.83203125" style="165" customWidth="1"/>
    <col min="7938" max="7938" width="1.1640625" style="165" customWidth="1"/>
    <col min="7939" max="7939" width="6.1640625" style="165" customWidth="1"/>
    <col min="7940" max="7940" width="2.83203125" style="165" customWidth="1"/>
    <col min="7941" max="7941" width="6.1640625" style="165" customWidth="1"/>
    <col min="7942" max="7942" width="2.83203125" style="165" customWidth="1"/>
    <col min="7943" max="7943" width="6.1640625" style="165" customWidth="1"/>
    <col min="7944" max="7944" width="2.83203125" style="165" customWidth="1"/>
    <col min="7945" max="7945" width="6.1640625" style="165" customWidth="1"/>
    <col min="7946" max="7946" width="2.83203125" style="165" customWidth="1"/>
    <col min="7947" max="7947" width="6.1640625" style="165" customWidth="1"/>
    <col min="7948" max="7948" width="1.83203125" style="165" customWidth="1"/>
    <col min="7949" max="8192" width="5.83203125" style="165" customWidth="1"/>
    <col min="8193" max="8193" width="24.83203125" style="165" customWidth="1"/>
    <col min="8194" max="8194" width="1.1640625" style="165" customWidth="1"/>
    <col min="8195" max="8195" width="6.1640625" style="165" customWidth="1"/>
    <col min="8196" max="8196" width="2.83203125" style="165" customWidth="1"/>
    <col min="8197" max="8197" width="6.1640625" style="165" customWidth="1"/>
    <col min="8198" max="8198" width="2.83203125" style="165" customWidth="1"/>
    <col min="8199" max="8199" width="6.1640625" style="165" customWidth="1"/>
    <col min="8200" max="8200" width="2.83203125" style="165" customWidth="1"/>
    <col min="8201" max="8201" width="6.1640625" style="165" customWidth="1"/>
    <col min="8202" max="8202" width="2.83203125" style="165" customWidth="1"/>
    <col min="8203" max="8203" width="6.1640625" style="165" customWidth="1"/>
    <col min="8204" max="8204" width="1.83203125" style="165" customWidth="1"/>
    <col min="8205" max="8448" width="5.83203125" style="165" customWidth="1"/>
    <col min="8449" max="8449" width="24.83203125" style="165" customWidth="1"/>
    <col min="8450" max="8450" width="1.1640625" style="165" customWidth="1"/>
    <col min="8451" max="8451" width="6.1640625" style="165" customWidth="1"/>
    <col min="8452" max="8452" width="2.83203125" style="165" customWidth="1"/>
    <col min="8453" max="8453" width="6.1640625" style="165" customWidth="1"/>
    <col min="8454" max="8454" width="2.83203125" style="165" customWidth="1"/>
    <col min="8455" max="8455" width="6.1640625" style="165" customWidth="1"/>
    <col min="8456" max="8456" width="2.83203125" style="165" customWidth="1"/>
    <col min="8457" max="8457" width="6.1640625" style="165" customWidth="1"/>
    <col min="8458" max="8458" width="2.83203125" style="165" customWidth="1"/>
    <col min="8459" max="8459" width="6.1640625" style="165" customWidth="1"/>
    <col min="8460" max="8460" width="1.83203125" style="165" customWidth="1"/>
    <col min="8461" max="8704" width="5.83203125" style="165" customWidth="1"/>
    <col min="8705" max="8705" width="24.83203125" style="165" customWidth="1"/>
    <col min="8706" max="8706" width="1.1640625" style="165" customWidth="1"/>
    <col min="8707" max="8707" width="6.1640625" style="165" customWidth="1"/>
    <col min="8708" max="8708" width="2.83203125" style="165" customWidth="1"/>
    <col min="8709" max="8709" width="6.1640625" style="165" customWidth="1"/>
    <col min="8710" max="8710" width="2.83203125" style="165" customWidth="1"/>
    <col min="8711" max="8711" width="6.1640625" style="165" customWidth="1"/>
    <col min="8712" max="8712" width="2.83203125" style="165" customWidth="1"/>
    <col min="8713" max="8713" width="6.1640625" style="165" customWidth="1"/>
    <col min="8714" max="8714" width="2.83203125" style="165" customWidth="1"/>
    <col min="8715" max="8715" width="6.1640625" style="165" customWidth="1"/>
    <col min="8716" max="8716" width="1.83203125" style="165" customWidth="1"/>
    <col min="8717" max="8960" width="5.83203125" style="165" customWidth="1"/>
    <col min="8961" max="8961" width="24.83203125" style="165" customWidth="1"/>
    <col min="8962" max="8962" width="1.1640625" style="165" customWidth="1"/>
    <col min="8963" max="8963" width="6.1640625" style="165" customWidth="1"/>
    <col min="8964" max="8964" width="2.83203125" style="165" customWidth="1"/>
    <col min="8965" max="8965" width="6.1640625" style="165" customWidth="1"/>
    <col min="8966" max="8966" width="2.83203125" style="165" customWidth="1"/>
    <col min="8967" max="8967" width="6.1640625" style="165" customWidth="1"/>
    <col min="8968" max="8968" width="2.83203125" style="165" customWidth="1"/>
    <col min="8969" max="8969" width="6.1640625" style="165" customWidth="1"/>
    <col min="8970" max="8970" width="2.83203125" style="165" customWidth="1"/>
    <col min="8971" max="8971" width="6.1640625" style="165" customWidth="1"/>
    <col min="8972" max="8972" width="1.83203125" style="165" customWidth="1"/>
    <col min="8973" max="9216" width="5.83203125" style="165" customWidth="1"/>
    <col min="9217" max="9217" width="24.83203125" style="165" customWidth="1"/>
    <col min="9218" max="9218" width="1.1640625" style="165" customWidth="1"/>
    <col min="9219" max="9219" width="6.1640625" style="165" customWidth="1"/>
    <col min="9220" max="9220" width="2.83203125" style="165" customWidth="1"/>
    <col min="9221" max="9221" width="6.1640625" style="165" customWidth="1"/>
    <col min="9222" max="9222" width="2.83203125" style="165" customWidth="1"/>
    <col min="9223" max="9223" width="6.1640625" style="165" customWidth="1"/>
    <col min="9224" max="9224" width="2.83203125" style="165" customWidth="1"/>
    <col min="9225" max="9225" width="6.1640625" style="165" customWidth="1"/>
    <col min="9226" max="9226" width="2.83203125" style="165" customWidth="1"/>
    <col min="9227" max="9227" width="6.1640625" style="165" customWidth="1"/>
    <col min="9228" max="9228" width="1.83203125" style="165" customWidth="1"/>
    <col min="9229" max="9472" width="5.83203125" style="165" customWidth="1"/>
    <col min="9473" max="9473" width="24.83203125" style="165" customWidth="1"/>
    <col min="9474" max="9474" width="1.1640625" style="165" customWidth="1"/>
    <col min="9475" max="9475" width="6.1640625" style="165" customWidth="1"/>
    <col min="9476" max="9476" width="2.83203125" style="165" customWidth="1"/>
    <col min="9477" max="9477" width="6.1640625" style="165" customWidth="1"/>
    <col min="9478" max="9478" width="2.83203125" style="165" customWidth="1"/>
    <col min="9479" max="9479" width="6.1640625" style="165" customWidth="1"/>
    <col min="9480" max="9480" width="2.83203125" style="165" customWidth="1"/>
    <col min="9481" max="9481" width="6.1640625" style="165" customWidth="1"/>
    <col min="9482" max="9482" width="2.83203125" style="165" customWidth="1"/>
    <col min="9483" max="9483" width="6.1640625" style="165" customWidth="1"/>
    <col min="9484" max="9484" width="1.83203125" style="165" customWidth="1"/>
    <col min="9485" max="9728" width="5.83203125" style="165" customWidth="1"/>
    <col min="9729" max="9729" width="24.83203125" style="165" customWidth="1"/>
    <col min="9730" max="9730" width="1.1640625" style="165" customWidth="1"/>
    <col min="9731" max="9731" width="6.1640625" style="165" customWidth="1"/>
    <col min="9732" max="9732" width="2.83203125" style="165" customWidth="1"/>
    <col min="9733" max="9733" width="6.1640625" style="165" customWidth="1"/>
    <col min="9734" max="9734" width="2.83203125" style="165" customWidth="1"/>
    <col min="9735" max="9735" width="6.1640625" style="165" customWidth="1"/>
    <col min="9736" max="9736" width="2.83203125" style="165" customWidth="1"/>
    <col min="9737" max="9737" width="6.1640625" style="165" customWidth="1"/>
    <col min="9738" max="9738" width="2.83203125" style="165" customWidth="1"/>
    <col min="9739" max="9739" width="6.1640625" style="165" customWidth="1"/>
    <col min="9740" max="9740" width="1.83203125" style="165" customWidth="1"/>
    <col min="9741" max="9984" width="5.83203125" style="165" customWidth="1"/>
    <col min="9985" max="9985" width="24.83203125" style="165" customWidth="1"/>
    <col min="9986" max="9986" width="1.1640625" style="165" customWidth="1"/>
    <col min="9987" max="9987" width="6.1640625" style="165" customWidth="1"/>
    <col min="9988" max="9988" width="2.83203125" style="165" customWidth="1"/>
    <col min="9989" max="9989" width="6.1640625" style="165" customWidth="1"/>
    <col min="9990" max="9990" width="2.83203125" style="165" customWidth="1"/>
    <col min="9991" max="9991" width="6.1640625" style="165" customWidth="1"/>
    <col min="9992" max="9992" width="2.83203125" style="165" customWidth="1"/>
    <col min="9993" max="9993" width="6.1640625" style="165" customWidth="1"/>
    <col min="9994" max="9994" width="2.83203125" style="165" customWidth="1"/>
    <col min="9995" max="9995" width="6.1640625" style="165" customWidth="1"/>
    <col min="9996" max="9996" width="1.83203125" style="165" customWidth="1"/>
    <col min="9997" max="10240" width="5.83203125" style="165" customWidth="1"/>
    <col min="10241" max="10241" width="24.83203125" style="165" customWidth="1"/>
    <col min="10242" max="10242" width="1.1640625" style="165" customWidth="1"/>
    <col min="10243" max="10243" width="6.1640625" style="165" customWidth="1"/>
    <col min="10244" max="10244" width="2.83203125" style="165" customWidth="1"/>
    <col min="10245" max="10245" width="6.1640625" style="165" customWidth="1"/>
    <col min="10246" max="10246" width="2.83203125" style="165" customWidth="1"/>
    <col min="10247" max="10247" width="6.1640625" style="165" customWidth="1"/>
    <col min="10248" max="10248" width="2.83203125" style="165" customWidth="1"/>
    <col min="10249" max="10249" width="6.1640625" style="165" customWidth="1"/>
    <col min="10250" max="10250" width="2.83203125" style="165" customWidth="1"/>
    <col min="10251" max="10251" width="6.1640625" style="165" customWidth="1"/>
    <col min="10252" max="10252" width="1.83203125" style="165" customWidth="1"/>
    <col min="10253" max="10496" width="5.83203125" style="165" customWidth="1"/>
    <col min="10497" max="10497" width="24.83203125" style="165" customWidth="1"/>
    <col min="10498" max="10498" width="1.1640625" style="165" customWidth="1"/>
    <col min="10499" max="10499" width="6.1640625" style="165" customWidth="1"/>
    <col min="10500" max="10500" width="2.83203125" style="165" customWidth="1"/>
    <col min="10501" max="10501" width="6.1640625" style="165" customWidth="1"/>
    <col min="10502" max="10502" width="2.83203125" style="165" customWidth="1"/>
    <col min="10503" max="10503" width="6.1640625" style="165" customWidth="1"/>
    <col min="10504" max="10504" width="2.83203125" style="165" customWidth="1"/>
    <col min="10505" max="10505" width="6.1640625" style="165" customWidth="1"/>
    <col min="10506" max="10506" width="2.83203125" style="165" customWidth="1"/>
    <col min="10507" max="10507" width="6.1640625" style="165" customWidth="1"/>
    <col min="10508" max="10508" width="1.83203125" style="165" customWidth="1"/>
    <col min="10509" max="10752" width="5.83203125" style="165" customWidth="1"/>
    <col min="10753" max="10753" width="24.83203125" style="165" customWidth="1"/>
    <col min="10754" max="10754" width="1.1640625" style="165" customWidth="1"/>
    <col min="10755" max="10755" width="6.1640625" style="165" customWidth="1"/>
    <col min="10756" max="10756" width="2.83203125" style="165" customWidth="1"/>
    <col min="10757" max="10757" width="6.1640625" style="165" customWidth="1"/>
    <col min="10758" max="10758" width="2.83203125" style="165" customWidth="1"/>
    <col min="10759" max="10759" width="6.1640625" style="165" customWidth="1"/>
    <col min="10760" max="10760" width="2.83203125" style="165" customWidth="1"/>
    <col min="10761" max="10761" width="6.1640625" style="165" customWidth="1"/>
    <col min="10762" max="10762" width="2.83203125" style="165" customWidth="1"/>
    <col min="10763" max="10763" width="6.1640625" style="165" customWidth="1"/>
    <col min="10764" max="10764" width="1.83203125" style="165" customWidth="1"/>
    <col min="10765" max="11008" width="5.83203125" style="165" customWidth="1"/>
    <col min="11009" max="11009" width="24.83203125" style="165" customWidth="1"/>
    <col min="11010" max="11010" width="1.1640625" style="165" customWidth="1"/>
    <col min="11011" max="11011" width="6.1640625" style="165" customWidth="1"/>
    <col min="11012" max="11012" width="2.83203125" style="165" customWidth="1"/>
    <col min="11013" max="11013" width="6.1640625" style="165" customWidth="1"/>
    <col min="11014" max="11014" width="2.83203125" style="165" customWidth="1"/>
    <col min="11015" max="11015" width="6.1640625" style="165" customWidth="1"/>
    <col min="11016" max="11016" width="2.83203125" style="165" customWidth="1"/>
    <col min="11017" max="11017" width="6.1640625" style="165" customWidth="1"/>
    <col min="11018" max="11018" width="2.83203125" style="165" customWidth="1"/>
    <col min="11019" max="11019" width="6.1640625" style="165" customWidth="1"/>
    <col min="11020" max="11020" width="1.83203125" style="165" customWidth="1"/>
    <col min="11021" max="11264" width="5.83203125" style="165" customWidth="1"/>
    <col min="11265" max="11265" width="24.83203125" style="165" customWidth="1"/>
    <col min="11266" max="11266" width="1.1640625" style="165" customWidth="1"/>
    <col min="11267" max="11267" width="6.1640625" style="165" customWidth="1"/>
    <col min="11268" max="11268" width="2.83203125" style="165" customWidth="1"/>
    <col min="11269" max="11269" width="6.1640625" style="165" customWidth="1"/>
    <col min="11270" max="11270" width="2.83203125" style="165" customWidth="1"/>
    <col min="11271" max="11271" width="6.1640625" style="165" customWidth="1"/>
    <col min="11272" max="11272" width="2.83203125" style="165" customWidth="1"/>
    <col min="11273" max="11273" width="6.1640625" style="165" customWidth="1"/>
    <col min="11274" max="11274" width="2.83203125" style="165" customWidth="1"/>
    <col min="11275" max="11275" width="6.1640625" style="165" customWidth="1"/>
    <col min="11276" max="11276" width="1.83203125" style="165" customWidth="1"/>
    <col min="11277" max="11520" width="5.83203125" style="165" customWidth="1"/>
    <col min="11521" max="11521" width="24.83203125" style="165" customWidth="1"/>
    <col min="11522" max="11522" width="1.1640625" style="165" customWidth="1"/>
    <col min="11523" max="11523" width="6.1640625" style="165" customWidth="1"/>
    <col min="11524" max="11524" width="2.83203125" style="165" customWidth="1"/>
    <col min="11525" max="11525" width="6.1640625" style="165" customWidth="1"/>
    <col min="11526" max="11526" width="2.83203125" style="165" customWidth="1"/>
    <col min="11527" max="11527" width="6.1640625" style="165" customWidth="1"/>
    <col min="11528" max="11528" width="2.83203125" style="165" customWidth="1"/>
    <col min="11529" max="11529" width="6.1640625" style="165" customWidth="1"/>
    <col min="11530" max="11530" width="2.83203125" style="165" customWidth="1"/>
    <col min="11531" max="11531" width="6.1640625" style="165" customWidth="1"/>
    <col min="11532" max="11532" width="1.83203125" style="165" customWidth="1"/>
    <col min="11533" max="11776" width="5.83203125" style="165" customWidth="1"/>
    <col min="11777" max="11777" width="24.83203125" style="165" customWidth="1"/>
    <col min="11778" max="11778" width="1.1640625" style="165" customWidth="1"/>
    <col min="11779" max="11779" width="6.1640625" style="165" customWidth="1"/>
    <col min="11780" max="11780" width="2.83203125" style="165" customWidth="1"/>
    <col min="11781" max="11781" width="6.1640625" style="165" customWidth="1"/>
    <col min="11782" max="11782" width="2.83203125" style="165" customWidth="1"/>
    <col min="11783" max="11783" width="6.1640625" style="165" customWidth="1"/>
    <col min="11784" max="11784" width="2.83203125" style="165" customWidth="1"/>
    <col min="11785" max="11785" width="6.1640625" style="165" customWidth="1"/>
    <col min="11786" max="11786" width="2.83203125" style="165" customWidth="1"/>
    <col min="11787" max="11787" width="6.1640625" style="165" customWidth="1"/>
    <col min="11788" max="11788" width="1.83203125" style="165" customWidth="1"/>
    <col min="11789" max="12032" width="5.83203125" style="165" customWidth="1"/>
    <col min="12033" max="12033" width="24.83203125" style="165" customWidth="1"/>
    <col min="12034" max="12034" width="1.1640625" style="165" customWidth="1"/>
    <col min="12035" max="12035" width="6.1640625" style="165" customWidth="1"/>
    <col min="12036" max="12036" width="2.83203125" style="165" customWidth="1"/>
    <col min="12037" max="12037" width="6.1640625" style="165" customWidth="1"/>
    <col min="12038" max="12038" width="2.83203125" style="165" customWidth="1"/>
    <col min="12039" max="12039" width="6.1640625" style="165" customWidth="1"/>
    <col min="12040" max="12040" width="2.83203125" style="165" customWidth="1"/>
    <col min="12041" max="12041" width="6.1640625" style="165" customWidth="1"/>
    <col min="12042" max="12042" width="2.83203125" style="165" customWidth="1"/>
    <col min="12043" max="12043" width="6.1640625" style="165" customWidth="1"/>
    <col min="12044" max="12044" width="1.83203125" style="165" customWidth="1"/>
    <col min="12045" max="12288" width="5.83203125" style="165" customWidth="1"/>
    <col min="12289" max="12289" width="24.83203125" style="165" customWidth="1"/>
    <col min="12290" max="12290" width="1.1640625" style="165" customWidth="1"/>
    <col min="12291" max="12291" width="6.1640625" style="165" customWidth="1"/>
    <col min="12292" max="12292" width="2.83203125" style="165" customWidth="1"/>
    <col min="12293" max="12293" width="6.1640625" style="165" customWidth="1"/>
    <col min="12294" max="12294" width="2.83203125" style="165" customWidth="1"/>
    <col min="12295" max="12295" width="6.1640625" style="165" customWidth="1"/>
    <col min="12296" max="12296" width="2.83203125" style="165" customWidth="1"/>
    <col min="12297" max="12297" width="6.1640625" style="165" customWidth="1"/>
    <col min="12298" max="12298" width="2.83203125" style="165" customWidth="1"/>
    <col min="12299" max="12299" width="6.1640625" style="165" customWidth="1"/>
    <col min="12300" max="12300" width="1.83203125" style="165" customWidth="1"/>
    <col min="12301" max="12544" width="5.83203125" style="165" customWidth="1"/>
    <col min="12545" max="12545" width="24.83203125" style="165" customWidth="1"/>
    <col min="12546" max="12546" width="1.1640625" style="165" customWidth="1"/>
    <col min="12547" max="12547" width="6.1640625" style="165" customWidth="1"/>
    <col min="12548" max="12548" width="2.83203125" style="165" customWidth="1"/>
    <col min="12549" max="12549" width="6.1640625" style="165" customWidth="1"/>
    <col min="12550" max="12550" width="2.83203125" style="165" customWidth="1"/>
    <col min="12551" max="12551" width="6.1640625" style="165" customWidth="1"/>
    <col min="12552" max="12552" width="2.83203125" style="165" customWidth="1"/>
    <col min="12553" max="12553" width="6.1640625" style="165" customWidth="1"/>
    <col min="12554" max="12554" width="2.83203125" style="165" customWidth="1"/>
    <col min="12555" max="12555" width="6.1640625" style="165" customWidth="1"/>
    <col min="12556" max="12556" width="1.83203125" style="165" customWidth="1"/>
    <col min="12557" max="12800" width="5.83203125" style="165" customWidth="1"/>
    <col min="12801" max="12801" width="24.83203125" style="165" customWidth="1"/>
    <col min="12802" max="12802" width="1.1640625" style="165" customWidth="1"/>
    <col min="12803" max="12803" width="6.1640625" style="165" customWidth="1"/>
    <col min="12804" max="12804" width="2.83203125" style="165" customWidth="1"/>
    <col min="12805" max="12805" width="6.1640625" style="165" customWidth="1"/>
    <col min="12806" max="12806" width="2.83203125" style="165" customWidth="1"/>
    <col min="12807" max="12807" width="6.1640625" style="165" customWidth="1"/>
    <col min="12808" max="12808" width="2.83203125" style="165" customWidth="1"/>
    <col min="12809" max="12809" width="6.1640625" style="165" customWidth="1"/>
    <col min="12810" max="12810" width="2.83203125" style="165" customWidth="1"/>
    <col min="12811" max="12811" width="6.1640625" style="165" customWidth="1"/>
    <col min="12812" max="12812" width="1.83203125" style="165" customWidth="1"/>
    <col min="12813" max="13056" width="5.83203125" style="165" customWidth="1"/>
    <col min="13057" max="13057" width="24.83203125" style="165" customWidth="1"/>
    <col min="13058" max="13058" width="1.1640625" style="165" customWidth="1"/>
    <col min="13059" max="13059" width="6.1640625" style="165" customWidth="1"/>
    <col min="13060" max="13060" width="2.83203125" style="165" customWidth="1"/>
    <col min="13061" max="13061" width="6.1640625" style="165" customWidth="1"/>
    <col min="13062" max="13062" width="2.83203125" style="165" customWidth="1"/>
    <col min="13063" max="13063" width="6.1640625" style="165" customWidth="1"/>
    <col min="13064" max="13064" width="2.83203125" style="165" customWidth="1"/>
    <col min="13065" max="13065" width="6.1640625" style="165" customWidth="1"/>
    <col min="13066" max="13066" width="2.83203125" style="165" customWidth="1"/>
    <col min="13067" max="13067" width="6.1640625" style="165" customWidth="1"/>
    <col min="13068" max="13068" width="1.83203125" style="165" customWidth="1"/>
    <col min="13069" max="13312" width="5.83203125" style="165" customWidth="1"/>
    <col min="13313" max="13313" width="24.83203125" style="165" customWidth="1"/>
    <col min="13314" max="13314" width="1.1640625" style="165" customWidth="1"/>
    <col min="13315" max="13315" width="6.1640625" style="165" customWidth="1"/>
    <col min="13316" max="13316" width="2.83203125" style="165" customWidth="1"/>
    <col min="13317" max="13317" width="6.1640625" style="165" customWidth="1"/>
    <col min="13318" max="13318" width="2.83203125" style="165" customWidth="1"/>
    <col min="13319" max="13319" width="6.1640625" style="165" customWidth="1"/>
    <col min="13320" max="13320" width="2.83203125" style="165" customWidth="1"/>
    <col min="13321" max="13321" width="6.1640625" style="165" customWidth="1"/>
    <col min="13322" max="13322" width="2.83203125" style="165" customWidth="1"/>
    <col min="13323" max="13323" width="6.1640625" style="165" customWidth="1"/>
    <col min="13324" max="13324" width="1.83203125" style="165" customWidth="1"/>
    <col min="13325" max="13568" width="5.83203125" style="165" customWidth="1"/>
    <col min="13569" max="13569" width="24.83203125" style="165" customWidth="1"/>
    <col min="13570" max="13570" width="1.1640625" style="165" customWidth="1"/>
    <col min="13571" max="13571" width="6.1640625" style="165" customWidth="1"/>
    <col min="13572" max="13572" width="2.83203125" style="165" customWidth="1"/>
    <col min="13573" max="13573" width="6.1640625" style="165" customWidth="1"/>
    <col min="13574" max="13574" width="2.83203125" style="165" customWidth="1"/>
    <col min="13575" max="13575" width="6.1640625" style="165" customWidth="1"/>
    <col min="13576" max="13576" width="2.83203125" style="165" customWidth="1"/>
    <col min="13577" max="13577" width="6.1640625" style="165" customWidth="1"/>
    <col min="13578" max="13578" width="2.83203125" style="165" customWidth="1"/>
    <col min="13579" max="13579" width="6.1640625" style="165" customWidth="1"/>
    <col min="13580" max="13580" width="1.83203125" style="165" customWidth="1"/>
    <col min="13581" max="13824" width="5.83203125" style="165" customWidth="1"/>
    <col min="13825" max="13825" width="24.83203125" style="165" customWidth="1"/>
    <col min="13826" max="13826" width="1.1640625" style="165" customWidth="1"/>
    <col min="13827" max="13827" width="6.1640625" style="165" customWidth="1"/>
    <col min="13828" max="13828" width="2.83203125" style="165" customWidth="1"/>
    <col min="13829" max="13829" width="6.1640625" style="165" customWidth="1"/>
    <col min="13830" max="13830" width="2.83203125" style="165" customWidth="1"/>
    <col min="13831" max="13831" width="6.1640625" style="165" customWidth="1"/>
    <col min="13832" max="13832" width="2.83203125" style="165" customWidth="1"/>
    <col min="13833" max="13833" width="6.1640625" style="165" customWidth="1"/>
    <col min="13834" max="13834" width="2.83203125" style="165" customWidth="1"/>
    <col min="13835" max="13835" width="6.1640625" style="165" customWidth="1"/>
    <col min="13836" max="13836" width="1.83203125" style="165" customWidth="1"/>
    <col min="13837" max="14080" width="5.83203125" style="165" customWidth="1"/>
    <col min="14081" max="14081" width="24.83203125" style="165" customWidth="1"/>
    <col min="14082" max="14082" width="1.1640625" style="165" customWidth="1"/>
    <col min="14083" max="14083" width="6.1640625" style="165" customWidth="1"/>
    <col min="14084" max="14084" width="2.83203125" style="165" customWidth="1"/>
    <col min="14085" max="14085" width="6.1640625" style="165" customWidth="1"/>
    <col min="14086" max="14086" width="2.83203125" style="165" customWidth="1"/>
    <col min="14087" max="14087" width="6.1640625" style="165" customWidth="1"/>
    <col min="14088" max="14088" width="2.83203125" style="165" customWidth="1"/>
    <col min="14089" max="14089" width="6.1640625" style="165" customWidth="1"/>
    <col min="14090" max="14090" width="2.83203125" style="165" customWidth="1"/>
    <col min="14091" max="14091" width="6.1640625" style="165" customWidth="1"/>
    <col min="14092" max="14092" width="1.83203125" style="165" customWidth="1"/>
    <col min="14093" max="14336" width="5.83203125" style="165" customWidth="1"/>
    <col min="14337" max="14337" width="24.83203125" style="165" customWidth="1"/>
    <col min="14338" max="14338" width="1.1640625" style="165" customWidth="1"/>
    <col min="14339" max="14339" width="6.1640625" style="165" customWidth="1"/>
    <col min="14340" max="14340" width="2.83203125" style="165" customWidth="1"/>
    <col min="14341" max="14341" width="6.1640625" style="165" customWidth="1"/>
    <col min="14342" max="14342" width="2.83203125" style="165" customWidth="1"/>
    <col min="14343" max="14343" width="6.1640625" style="165" customWidth="1"/>
    <col min="14344" max="14344" width="2.83203125" style="165" customWidth="1"/>
    <col min="14345" max="14345" width="6.1640625" style="165" customWidth="1"/>
    <col min="14346" max="14346" width="2.83203125" style="165" customWidth="1"/>
    <col min="14347" max="14347" width="6.1640625" style="165" customWidth="1"/>
    <col min="14348" max="14348" width="1.83203125" style="165" customWidth="1"/>
    <col min="14349" max="14592" width="5.83203125" style="165" customWidth="1"/>
    <col min="14593" max="14593" width="24.83203125" style="165" customWidth="1"/>
    <col min="14594" max="14594" width="1.1640625" style="165" customWidth="1"/>
    <col min="14595" max="14595" width="6.1640625" style="165" customWidth="1"/>
    <col min="14596" max="14596" width="2.83203125" style="165" customWidth="1"/>
    <col min="14597" max="14597" width="6.1640625" style="165" customWidth="1"/>
    <col min="14598" max="14598" width="2.83203125" style="165" customWidth="1"/>
    <col min="14599" max="14599" width="6.1640625" style="165" customWidth="1"/>
    <col min="14600" max="14600" width="2.83203125" style="165" customWidth="1"/>
    <col min="14601" max="14601" width="6.1640625" style="165" customWidth="1"/>
    <col min="14602" max="14602" width="2.83203125" style="165" customWidth="1"/>
    <col min="14603" max="14603" width="6.1640625" style="165" customWidth="1"/>
    <col min="14604" max="14604" width="1.83203125" style="165" customWidth="1"/>
    <col min="14605" max="14848" width="5.83203125" style="165" customWidth="1"/>
    <col min="14849" max="14849" width="24.83203125" style="165" customWidth="1"/>
    <col min="14850" max="14850" width="1.1640625" style="165" customWidth="1"/>
    <col min="14851" max="14851" width="6.1640625" style="165" customWidth="1"/>
    <col min="14852" max="14852" width="2.83203125" style="165" customWidth="1"/>
    <col min="14853" max="14853" width="6.1640625" style="165" customWidth="1"/>
    <col min="14854" max="14854" width="2.83203125" style="165" customWidth="1"/>
    <col min="14855" max="14855" width="6.1640625" style="165" customWidth="1"/>
    <col min="14856" max="14856" width="2.83203125" style="165" customWidth="1"/>
    <col min="14857" max="14857" width="6.1640625" style="165" customWidth="1"/>
    <col min="14858" max="14858" width="2.83203125" style="165" customWidth="1"/>
    <col min="14859" max="14859" width="6.1640625" style="165" customWidth="1"/>
    <col min="14860" max="14860" width="1.83203125" style="165" customWidth="1"/>
    <col min="14861" max="15104" width="5.83203125" style="165" customWidth="1"/>
    <col min="15105" max="15105" width="24.83203125" style="165" customWidth="1"/>
    <col min="15106" max="15106" width="1.1640625" style="165" customWidth="1"/>
    <col min="15107" max="15107" width="6.1640625" style="165" customWidth="1"/>
    <col min="15108" max="15108" width="2.83203125" style="165" customWidth="1"/>
    <col min="15109" max="15109" width="6.1640625" style="165" customWidth="1"/>
    <col min="15110" max="15110" width="2.83203125" style="165" customWidth="1"/>
    <col min="15111" max="15111" width="6.1640625" style="165" customWidth="1"/>
    <col min="15112" max="15112" width="2.83203125" style="165" customWidth="1"/>
    <col min="15113" max="15113" width="6.1640625" style="165" customWidth="1"/>
    <col min="15114" max="15114" width="2.83203125" style="165" customWidth="1"/>
    <col min="15115" max="15115" width="6.1640625" style="165" customWidth="1"/>
    <col min="15116" max="15116" width="1.83203125" style="165" customWidth="1"/>
    <col min="15117" max="15360" width="5.83203125" style="165" customWidth="1"/>
    <col min="15361" max="15361" width="24.83203125" style="165" customWidth="1"/>
    <col min="15362" max="15362" width="1.1640625" style="165" customWidth="1"/>
    <col min="15363" max="15363" width="6.1640625" style="165" customWidth="1"/>
    <col min="15364" max="15364" width="2.83203125" style="165" customWidth="1"/>
    <col min="15365" max="15365" width="6.1640625" style="165" customWidth="1"/>
    <col min="15366" max="15366" width="2.83203125" style="165" customWidth="1"/>
    <col min="15367" max="15367" width="6.1640625" style="165" customWidth="1"/>
    <col min="15368" max="15368" width="2.83203125" style="165" customWidth="1"/>
    <col min="15369" max="15369" width="6.1640625" style="165" customWidth="1"/>
    <col min="15370" max="15370" width="2.83203125" style="165" customWidth="1"/>
    <col min="15371" max="15371" width="6.1640625" style="165" customWidth="1"/>
    <col min="15372" max="15372" width="1.83203125" style="165" customWidth="1"/>
    <col min="15373" max="15616" width="5.83203125" style="165" customWidth="1"/>
    <col min="15617" max="15617" width="24.83203125" style="165" customWidth="1"/>
    <col min="15618" max="15618" width="1.1640625" style="165" customWidth="1"/>
    <col min="15619" max="15619" width="6.1640625" style="165" customWidth="1"/>
    <col min="15620" max="15620" width="2.83203125" style="165" customWidth="1"/>
    <col min="15621" max="15621" width="6.1640625" style="165" customWidth="1"/>
    <col min="15622" max="15622" width="2.83203125" style="165" customWidth="1"/>
    <col min="15623" max="15623" width="6.1640625" style="165" customWidth="1"/>
    <col min="15624" max="15624" width="2.83203125" style="165" customWidth="1"/>
    <col min="15625" max="15625" width="6.1640625" style="165" customWidth="1"/>
    <col min="15626" max="15626" width="2.83203125" style="165" customWidth="1"/>
    <col min="15627" max="15627" width="6.1640625" style="165" customWidth="1"/>
    <col min="15628" max="15628" width="1.83203125" style="165" customWidth="1"/>
    <col min="15629" max="15872" width="5.83203125" style="165" customWidth="1"/>
    <col min="15873" max="15873" width="24.83203125" style="165" customWidth="1"/>
    <col min="15874" max="15874" width="1.1640625" style="165" customWidth="1"/>
    <col min="15875" max="15875" width="6.1640625" style="165" customWidth="1"/>
    <col min="15876" max="15876" width="2.83203125" style="165" customWidth="1"/>
    <col min="15877" max="15877" width="6.1640625" style="165" customWidth="1"/>
    <col min="15878" max="15878" width="2.83203125" style="165" customWidth="1"/>
    <col min="15879" max="15879" width="6.1640625" style="165" customWidth="1"/>
    <col min="15880" max="15880" width="2.83203125" style="165" customWidth="1"/>
    <col min="15881" max="15881" width="6.1640625" style="165" customWidth="1"/>
    <col min="15882" max="15882" width="2.83203125" style="165" customWidth="1"/>
    <col min="15883" max="15883" width="6.1640625" style="165" customWidth="1"/>
    <col min="15884" max="15884" width="1.83203125" style="165" customWidth="1"/>
    <col min="15885" max="16128" width="5.83203125" style="165" customWidth="1"/>
    <col min="16129" max="16129" width="24.83203125" style="165" customWidth="1"/>
    <col min="16130" max="16130" width="1.1640625" style="165" customWidth="1"/>
    <col min="16131" max="16131" width="6.1640625" style="165" customWidth="1"/>
    <col min="16132" max="16132" width="2.83203125" style="165" customWidth="1"/>
    <col min="16133" max="16133" width="6.1640625" style="165" customWidth="1"/>
    <col min="16134" max="16134" width="2.83203125" style="165" customWidth="1"/>
    <col min="16135" max="16135" width="6.1640625" style="165" customWidth="1"/>
    <col min="16136" max="16136" width="2.83203125" style="165" customWidth="1"/>
    <col min="16137" max="16137" width="6.1640625" style="165" customWidth="1"/>
    <col min="16138" max="16138" width="2.83203125" style="165" customWidth="1"/>
    <col min="16139" max="16139" width="6.1640625" style="165" customWidth="1"/>
    <col min="16140" max="16140" width="1.83203125" style="165" customWidth="1"/>
    <col min="16141" max="16384" width="5.83203125" style="165" customWidth="1"/>
  </cols>
  <sheetData>
    <row r="1" spans="1:12" ht="11.25" customHeight="1">
      <c r="A1" s="417" t="s">
        <v>365</v>
      </c>
      <c r="B1" s="418"/>
      <c r="C1" s="418"/>
      <c r="D1" s="418"/>
      <c r="E1" s="418"/>
      <c r="F1" s="418"/>
      <c r="G1" s="418"/>
      <c r="H1" s="418"/>
      <c r="I1" s="418"/>
      <c r="J1" s="418"/>
      <c r="K1" s="418"/>
      <c r="L1" s="418"/>
    </row>
    <row r="2" spans="1:12" ht="11.25" customHeight="1">
      <c r="A2" s="417" t="s">
        <v>463</v>
      </c>
      <c r="B2" s="418"/>
      <c r="C2" s="418"/>
      <c r="D2" s="418"/>
      <c r="E2" s="418"/>
      <c r="F2" s="418"/>
      <c r="G2" s="418"/>
      <c r="H2" s="418"/>
      <c r="I2" s="418"/>
      <c r="J2" s="418"/>
      <c r="K2" s="418"/>
      <c r="L2" s="418"/>
    </row>
    <row r="3" spans="1:12" ht="11.25" customHeight="1">
      <c r="A3" s="419"/>
      <c r="B3" s="419"/>
      <c r="C3" s="419"/>
      <c r="D3" s="419"/>
      <c r="E3" s="419"/>
      <c r="F3" s="419"/>
      <c r="G3" s="419"/>
      <c r="H3" s="419"/>
      <c r="I3" s="419"/>
      <c r="J3" s="419"/>
      <c r="K3" s="419"/>
      <c r="L3" s="419"/>
    </row>
    <row r="4" spans="1:12" ht="11.25" customHeight="1">
      <c r="A4" s="417" t="s">
        <v>0</v>
      </c>
      <c r="B4" s="417"/>
      <c r="C4" s="417"/>
      <c r="D4" s="417"/>
      <c r="E4" s="417"/>
      <c r="F4" s="417"/>
      <c r="G4" s="417"/>
      <c r="H4" s="417"/>
      <c r="I4" s="417"/>
      <c r="J4" s="417"/>
      <c r="K4" s="417"/>
      <c r="L4" s="417"/>
    </row>
    <row r="5" spans="1:12" ht="11.25" customHeight="1">
      <c r="A5" s="420"/>
      <c r="B5" s="420"/>
      <c r="C5" s="420"/>
      <c r="D5" s="420"/>
      <c r="E5" s="420"/>
      <c r="F5" s="420"/>
      <c r="G5" s="420"/>
      <c r="H5" s="420"/>
      <c r="I5" s="420"/>
      <c r="J5" s="420"/>
      <c r="K5" s="420"/>
      <c r="L5" s="420"/>
    </row>
    <row r="6" spans="1:12" ht="12.5" customHeight="1">
      <c r="A6" s="220" t="s">
        <v>464</v>
      </c>
      <c r="B6" s="221"/>
      <c r="C6" s="222" t="s">
        <v>95</v>
      </c>
      <c r="D6" s="223"/>
      <c r="E6" s="222" t="s">
        <v>96</v>
      </c>
      <c r="F6" s="223"/>
      <c r="G6" s="222" t="s">
        <v>97</v>
      </c>
      <c r="H6" s="223"/>
      <c r="I6" s="222" t="s">
        <v>98</v>
      </c>
      <c r="J6" s="224"/>
      <c r="K6" s="222" t="s">
        <v>465</v>
      </c>
      <c r="L6" s="224"/>
    </row>
    <row r="7" spans="1:12" ht="11.25" customHeight="1">
      <c r="A7" s="225" t="s">
        <v>7</v>
      </c>
      <c r="B7" s="226"/>
      <c r="C7" s="227">
        <v>690</v>
      </c>
      <c r="D7" s="228" t="s">
        <v>9</v>
      </c>
      <c r="E7" s="227">
        <v>493</v>
      </c>
      <c r="F7" s="228"/>
      <c r="G7" s="227">
        <v>696</v>
      </c>
      <c r="H7" s="228"/>
      <c r="I7" s="227">
        <v>360</v>
      </c>
      <c r="J7" s="227"/>
      <c r="K7" s="227">
        <v>400</v>
      </c>
      <c r="L7" s="227"/>
    </row>
    <row r="8" spans="1:12" ht="11.25" customHeight="1">
      <c r="A8" s="225" t="s">
        <v>258</v>
      </c>
      <c r="B8" s="226"/>
      <c r="C8" s="227">
        <f>C9+C10</f>
        <v>4428</v>
      </c>
      <c r="D8" s="227"/>
      <c r="E8" s="227">
        <f t="shared" ref="E8:K8" si="0">E9+E10</f>
        <v>2849</v>
      </c>
      <c r="F8" s="227"/>
      <c r="G8" s="227">
        <f t="shared" si="0"/>
        <v>4098</v>
      </c>
      <c r="H8" s="227"/>
      <c r="I8" s="227">
        <f t="shared" si="0"/>
        <v>4445</v>
      </c>
      <c r="J8" s="227"/>
      <c r="K8" s="227">
        <f t="shared" si="0"/>
        <v>3684</v>
      </c>
      <c r="L8" s="229"/>
    </row>
    <row r="9" spans="1:12" ht="11.25" customHeight="1">
      <c r="A9" s="230" t="s">
        <v>259</v>
      </c>
      <c r="B9" s="226"/>
      <c r="C9" s="227">
        <v>2581</v>
      </c>
      <c r="D9" s="228"/>
      <c r="E9" s="227">
        <v>2042</v>
      </c>
      <c r="F9" s="231"/>
      <c r="G9" s="227">
        <v>2532</v>
      </c>
      <c r="H9" s="231"/>
      <c r="I9" s="227">
        <v>2795</v>
      </c>
      <c r="J9" s="231" t="s">
        <v>8</v>
      </c>
      <c r="K9" s="227">
        <v>2078</v>
      </c>
      <c r="L9" s="231"/>
    </row>
    <row r="10" spans="1:12" ht="11.25" customHeight="1">
      <c r="A10" s="230" t="s">
        <v>260</v>
      </c>
      <c r="B10" s="226"/>
      <c r="C10" s="227">
        <v>1847</v>
      </c>
      <c r="D10" s="228"/>
      <c r="E10" s="227">
        <v>807</v>
      </c>
      <c r="F10" s="231"/>
      <c r="G10" s="227">
        <v>1566</v>
      </c>
      <c r="H10" s="231"/>
      <c r="I10" s="227">
        <v>1650</v>
      </c>
      <c r="J10" s="231"/>
      <c r="K10" s="227">
        <v>1606</v>
      </c>
      <c r="L10" s="231"/>
    </row>
    <row r="11" spans="1:12" ht="11.25" customHeight="1">
      <c r="A11" s="225" t="s">
        <v>10</v>
      </c>
      <c r="B11" s="226"/>
      <c r="C11" s="227">
        <v>6409</v>
      </c>
      <c r="D11" s="228"/>
      <c r="E11" s="227">
        <v>4370</v>
      </c>
      <c r="F11" s="231"/>
      <c r="G11" s="227">
        <v>6259</v>
      </c>
      <c r="H11" s="231"/>
      <c r="I11" s="227">
        <v>5369</v>
      </c>
      <c r="J11" s="231" t="s">
        <v>8</v>
      </c>
      <c r="K11" s="227">
        <v>3711</v>
      </c>
      <c r="L11" s="231"/>
    </row>
    <row r="12" spans="1:12" ht="11.25" customHeight="1">
      <c r="A12" s="225" t="s">
        <v>11</v>
      </c>
      <c r="B12" s="226"/>
      <c r="C12" s="227">
        <v>5795.0169999999998</v>
      </c>
      <c r="D12" s="231"/>
      <c r="E12" s="227">
        <v>4353.2579999999998</v>
      </c>
      <c r="F12" s="231"/>
      <c r="G12" s="227">
        <v>5621.1909999999998</v>
      </c>
      <c r="H12" s="231"/>
      <c r="I12" s="227">
        <v>5815.47</v>
      </c>
      <c r="J12" s="231"/>
      <c r="K12" s="227">
        <v>5751.357</v>
      </c>
      <c r="L12" s="231"/>
    </row>
    <row r="13" spans="1:12" ht="11.25" customHeight="1">
      <c r="A13" s="225" t="s">
        <v>261</v>
      </c>
      <c r="B13" s="226"/>
      <c r="C13" s="227">
        <v>7125</v>
      </c>
      <c r="D13" s="231"/>
      <c r="E13" s="227">
        <v>3087</v>
      </c>
      <c r="F13" s="229"/>
      <c r="G13" s="227">
        <v>4688</v>
      </c>
      <c r="H13" s="231" t="s">
        <v>8</v>
      </c>
      <c r="I13" s="227">
        <v>4725</v>
      </c>
      <c r="J13" s="231" t="s">
        <v>8</v>
      </c>
      <c r="K13" s="227">
        <v>4072</v>
      </c>
      <c r="L13" s="231"/>
    </row>
    <row r="14" spans="1:12" ht="11.25" customHeight="1">
      <c r="A14" s="225" t="s">
        <v>81</v>
      </c>
      <c r="B14" s="226"/>
      <c r="C14" s="227">
        <v>243</v>
      </c>
      <c r="D14" s="231"/>
      <c r="E14" s="227">
        <v>482.46899999999999</v>
      </c>
      <c r="F14" s="231"/>
      <c r="G14" s="227">
        <v>620.93499999999995</v>
      </c>
      <c r="H14" s="231"/>
      <c r="I14" s="227">
        <v>684.73400000000004</v>
      </c>
      <c r="J14" s="231"/>
      <c r="K14" s="227">
        <v>749.53899999999999</v>
      </c>
      <c r="L14" s="231"/>
    </row>
    <row r="15" spans="1:12" ht="11.25" customHeight="1">
      <c r="A15" s="225" t="s">
        <v>196</v>
      </c>
      <c r="B15" s="226"/>
      <c r="C15" s="227">
        <v>34871</v>
      </c>
      <c r="D15" s="231"/>
      <c r="E15" s="227">
        <v>25135</v>
      </c>
      <c r="F15" s="231"/>
      <c r="G15" s="227">
        <v>25000</v>
      </c>
      <c r="H15" s="231" t="s">
        <v>8</v>
      </c>
      <c r="I15" s="227">
        <v>31000</v>
      </c>
      <c r="J15" s="231"/>
      <c r="K15" s="227">
        <v>27000</v>
      </c>
      <c r="L15" s="229"/>
    </row>
    <row r="16" spans="1:12" ht="11.25" customHeight="1">
      <c r="A16" s="230" t="s">
        <v>298</v>
      </c>
      <c r="B16" s="226"/>
      <c r="C16" s="227">
        <v>34871</v>
      </c>
      <c r="D16" s="231"/>
      <c r="E16" s="227">
        <v>25135</v>
      </c>
      <c r="F16" s="231"/>
      <c r="G16" s="227">
        <v>25000</v>
      </c>
      <c r="H16" s="231" t="s">
        <v>8</v>
      </c>
      <c r="I16" s="227">
        <v>31000</v>
      </c>
      <c r="J16" s="231"/>
      <c r="K16" s="227">
        <v>27000</v>
      </c>
      <c r="L16" s="231" t="s">
        <v>17</v>
      </c>
    </row>
    <row r="17" spans="1:12" ht="11.25" customHeight="1">
      <c r="A17" s="230" t="s">
        <v>260</v>
      </c>
      <c r="B17" s="226"/>
      <c r="C17" s="232" t="s">
        <v>13</v>
      </c>
      <c r="D17" s="228" t="s">
        <v>8</v>
      </c>
      <c r="E17" s="232" t="s">
        <v>13</v>
      </c>
      <c r="F17" s="228" t="s">
        <v>8</v>
      </c>
      <c r="G17" s="232" t="s">
        <v>13</v>
      </c>
      <c r="H17" s="228" t="s">
        <v>8</v>
      </c>
      <c r="I17" s="232" t="s">
        <v>13</v>
      </c>
      <c r="J17" s="228" t="s">
        <v>8</v>
      </c>
      <c r="K17" s="232" t="s">
        <v>13</v>
      </c>
      <c r="L17" s="228"/>
    </row>
    <row r="18" spans="1:12" ht="11.25" customHeight="1">
      <c r="A18" s="225" t="s">
        <v>16</v>
      </c>
      <c r="B18" s="226"/>
      <c r="C18" s="227">
        <v>441</v>
      </c>
      <c r="D18" s="229"/>
      <c r="E18" s="233" t="s">
        <v>12</v>
      </c>
      <c r="F18" s="229"/>
      <c r="G18" s="233" t="s">
        <v>12</v>
      </c>
      <c r="H18" s="229"/>
      <c r="I18" s="233" t="s">
        <v>12</v>
      </c>
      <c r="J18" s="229"/>
      <c r="K18" s="233" t="s">
        <v>12</v>
      </c>
      <c r="L18" s="229"/>
    </row>
    <row r="19" spans="1:12" ht="12.5" customHeight="1">
      <c r="A19" s="225" t="s">
        <v>466</v>
      </c>
      <c r="B19" s="226"/>
      <c r="C19" s="227">
        <v>1.5</v>
      </c>
      <c r="D19" s="234"/>
      <c r="E19" s="227">
        <v>1.5</v>
      </c>
      <c r="F19" s="234"/>
      <c r="G19" s="227">
        <v>1.5</v>
      </c>
      <c r="H19" s="234"/>
      <c r="I19" s="227">
        <v>1.5</v>
      </c>
      <c r="J19" s="234"/>
      <c r="K19" s="227">
        <v>1.5</v>
      </c>
      <c r="L19" s="234"/>
    </row>
    <row r="20" spans="1:12" ht="11.25" customHeight="1">
      <c r="A20" s="225" t="s">
        <v>197</v>
      </c>
      <c r="B20" s="226"/>
      <c r="C20" s="227">
        <f>C21+C22</f>
        <v>9460</v>
      </c>
      <c r="D20" s="227"/>
      <c r="E20" s="227">
        <f t="shared" ref="E20:K20" si="1">E21+E22</f>
        <v>5300</v>
      </c>
      <c r="F20" s="227"/>
      <c r="G20" s="227">
        <f t="shared" si="1"/>
        <v>8266</v>
      </c>
      <c r="H20" s="227"/>
      <c r="I20" s="227">
        <f t="shared" si="1"/>
        <v>8022.6239999999998</v>
      </c>
      <c r="J20" s="227"/>
      <c r="K20" s="227">
        <f t="shared" si="1"/>
        <v>8494.18</v>
      </c>
      <c r="L20" s="234"/>
    </row>
    <row r="21" spans="1:12" ht="11.25" customHeight="1">
      <c r="A21" s="230" t="s">
        <v>298</v>
      </c>
      <c r="B21" s="226"/>
      <c r="C21" s="227">
        <v>8770</v>
      </c>
      <c r="D21" s="228" t="s">
        <v>8</v>
      </c>
      <c r="E21" s="227">
        <v>5000</v>
      </c>
      <c r="F21" s="231"/>
      <c r="G21" s="227">
        <v>7666</v>
      </c>
      <c r="H21" s="231" t="s">
        <v>8</v>
      </c>
      <c r="I21" s="227">
        <v>7322.6239999999998</v>
      </c>
      <c r="J21" s="231" t="s">
        <v>8</v>
      </c>
      <c r="K21" s="227">
        <v>7654.18</v>
      </c>
      <c r="L21" s="231" t="s">
        <v>17</v>
      </c>
    </row>
    <row r="22" spans="1:12" ht="11.25" customHeight="1">
      <c r="A22" s="230" t="s">
        <v>260</v>
      </c>
      <c r="B22" s="226"/>
      <c r="C22" s="227">
        <v>690</v>
      </c>
      <c r="D22" s="228"/>
      <c r="E22" s="227">
        <v>300</v>
      </c>
      <c r="F22" s="231"/>
      <c r="G22" s="227">
        <v>600</v>
      </c>
      <c r="H22" s="231" t="s">
        <v>8</v>
      </c>
      <c r="I22" s="227">
        <v>700</v>
      </c>
      <c r="J22" s="231"/>
      <c r="K22" s="227">
        <v>840</v>
      </c>
      <c r="L22" s="231" t="s">
        <v>467</v>
      </c>
    </row>
    <row r="23" spans="1:12" ht="11.25" customHeight="1">
      <c r="A23" s="225" t="s">
        <v>18</v>
      </c>
      <c r="B23" s="226"/>
      <c r="C23" s="227">
        <v>1109</v>
      </c>
      <c r="D23" s="228"/>
      <c r="E23" s="227">
        <v>923</v>
      </c>
      <c r="F23" s="231"/>
      <c r="G23" s="227">
        <v>635</v>
      </c>
      <c r="H23" s="231"/>
      <c r="I23" s="227">
        <v>1072</v>
      </c>
      <c r="J23" s="231" t="s">
        <v>8</v>
      </c>
      <c r="K23" s="227">
        <v>1065</v>
      </c>
      <c r="L23" s="231"/>
    </row>
    <row r="24" spans="1:12" ht="11.25" customHeight="1">
      <c r="A24" s="225" t="s">
        <v>468</v>
      </c>
      <c r="B24" s="226"/>
      <c r="C24" s="227">
        <v>470670</v>
      </c>
      <c r="D24" s="229"/>
      <c r="E24" s="227">
        <v>552830</v>
      </c>
      <c r="F24" s="231"/>
      <c r="G24" s="227">
        <v>597330</v>
      </c>
      <c r="H24" s="231"/>
      <c r="I24" s="227">
        <v>640510</v>
      </c>
      <c r="J24" s="231" t="s">
        <v>8</v>
      </c>
      <c r="K24" s="227">
        <v>657900</v>
      </c>
      <c r="L24" s="229"/>
    </row>
    <row r="25" spans="1:12" ht="11.25" customHeight="1">
      <c r="A25" s="225" t="s">
        <v>20</v>
      </c>
      <c r="B25" s="226"/>
      <c r="C25" s="227">
        <v>300</v>
      </c>
      <c r="D25" s="231"/>
      <c r="E25" s="227">
        <v>342</v>
      </c>
      <c r="F25" s="231"/>
      <c r="G25" s="227">
        <v>327</v>
      </c>
      <c r="H25" s="231"/>
      <c r="I25" s="227">
        <v>295</v>
      </c>
      <c r="J25" s="231" t="s">
        <v>8</v>
      </c>
      <c r="K25" s="227">
        <v>345</v>
      </c>
      <c r="L25" s="231"/>
    </row>
    <row r="26" spans="1:12" ht="11.25" customHeight="1">
      <c r="A26" s="225" t="s">
        <v>264</v>
      </c>
      <c r="B26" s="226"/>
      <c r="C26" s="227">
        <v>4737</v>
      </c>
      <c r="D26" s="231"/>
      <c r="E26" s="227">
        <v>3483</v>
      </c>
      <c r="F26" s="229"/>
      <c r="G26" s="227">
        <v>3987</v>
      </c>
      <c r="H26" s="229"/>
      <c r="I26" s="227">
        <v>4137.0739999999996</v>
      </c>
      <c r="J26" s="229"/>
      <c r="K26" s="227">
        <v>3935.7890000000002</v>
      </c>
      <c r="L26" s="229"/>
    </row>
    <row r="27" spans="1:12" ht="11.25" customHeight="1">
      <c r="A27" s="225" t="s">
        <v>198</v>
      </c>
      <c r="B27" s="226"/>
      <c r="C27" s="227">
        <f>C28+C29</f>
        <v>3600</v>
      </c>
      <c r="D27" s="227"/>
      <c r="E27" s="227">
        <f t="shared" ref="E27:K27" si="2">E28+E29</f>
        <v>7000</v>
      </c>
      <c r="F27" s="227"/>
      <c r="G27" s="227">
        <f t="shared" si="2"/>
        <v>6600</v>
      </c>
      <c r="H27" s="227"/>
      <c r="I27" s="227">
        <f t="shared" si="2"/>
        <v>6570</v>
      </c>
      <c r="J27" s="227"/>
      <c r="K27" s="227">
        <f t="shared" si="2"/>
        <v>6280</v>
      </c>
      <c r="L27" s="235"/>
    </row>
    <row r="28" spans="1:12" ht="11.25" customHeight="1">
      <c r="A28" s="230" t="s">
        <v>298</v>
      </c>
      <c r="B28" s="226"/>
      <c r="C28" s="227">
        <v>1000</v>
      </c>
      <c r="D28" s="231"/>
      <c r="E28" s="227">
        <v>3900</v>
      </c>
      <c r="F28" s="231"/>
      <c r="G28" s="227">
        <v>3600</v>
      </c>
      <c r="H28" s="229"/>
      <c r="I28" s="227">
        <v>3600</v>
      </c>
      <c r="J28" s="231" t="s">
        <v>9</v>
      </c>
      <c r="K28" s="227">
        <v>3440</v>
      </c>
      <c r="L28" s="231"/>
    </row>
    <row r="29" spans="1:12" ht="11.25" customHeight="1">
      <c r="A29" s="230" t="s">
        <v>469</v>
      </c>
      <c r="B29" s="226"/>
      <c r="C29" s="227">
        <v>2600</v>
      </c>
      <c r="D29" s="231"/>
      <c r="E29" s="227">
        <v>3100</v>
      </c>
      <c r="F29" s="231"/>
      <c r="G29" s="227">
        <v>3000</v>
      </c>
      <c r="H29" s="235"/>
      <c r="I29" s="227">
        <v>2970</v>
      </c>
      <c r="J29" s="235"/>
      <c r="K29" s="227">
        <v>2840</v>
      </c>
      <c r="L29" s="235"/>
    </row>
    <row r="30" spans="1:12" ht="11.25" customHeight="1">
      <c r="A30" s="225" t="s">
        <v>267</v>
      </c>
      <c r="B30" s="226"/>
      <c r="C30" s="227">
        <v>2943</v>
      </c>
      <c r="D30" s="231"/>
      <c r="E30" s="227">
        <v>2042</v>
      </c>
      <c r="F30" s="231"/>
      <c r="G30" s="227">
        <v>2600</v>
      </c>
      <c r="H30" s="231"/>
      <c r="I30" s="227">
        <v>2600</v>
      </c>
      <c r="J30" s="231" t="s">
        <v>9</v>
      </c>
      <c r="K30" s="227">
        <v>2500</v>
      </c>
      <c r="L30" s="231"/>
    </row>
    <row r="31" spans="1:12" ht="11.25" customHeight="1">
      <c r="A31" s="225" t="s">
        <v>268</v>
      </c>
      <c r="B31" s="226"/>
      <c r="C31" s="227">
        <v>11372</v>
      </c>
      <c r="D31" s="231"/>
      <c r="E31" s="227">
        <v>8105</v>
      </c>
      <c r="F31" s="229"/>
      <c r="G31" s="227">
        <v>10137</v>
      </c>
      <c r="H31" s="229"/>
      <c r="I31" s="227">
        <v>9700</v>
      </c>
      <c r="J31" s="231" t="s">
        <v>9</v>
      </c>
      <c r="K31" s="227">
        <v>9531</v>
      </c>
      <c r="L31" s="231"/>
    </row>
    <row r="32" spans="1:12" ht="11.25" customHeight="1">
      <c r="A32" s="225" t="s">
        <v>199</v>
      </c>
      <c r="B32" s="226"/>
      <c r="C32" s="227">
        <f>C33+C34</f>
        <v>29631</v>
      </c>
      <c r="D32" s="227"/>
      <c r="E32" s="227">
        <f t="shared" ref="E32:K32" si="3">E33+E34</f>
        <v>20484</v>
      </c>
      <c r="F32" s="227"/>
      <c r="G32" s="227">
        <f t="shared" si="3"/>
        <v>29010</v>
      </c>
      <c r="H32" s="227"/>
      <c r="I32" s="227">
        <f t="shared" si="3"/>
        <v>28323</v>
      </c>
      <c r="J32" s="227"/>
      <c r="K32" s="227">
        <f t="shared" si="3"/>
        <v>27608</v>
      </c>
      <c r="L32" s="229"/>
    </row>
    <row r="33" spans="1:12" ht="11.25" customHeight="1">
      <c r="A33" s="230" t="s">
        <v>298</v>
      </c>
      <c r="B33" s="226"/>
      <c r="C33" s="227">
        <v>29111</v>
      </c>
      <c r="D33" s="229"/>
      <c r="E33" s="227">
        <v>20104</v>
      </c>
      <c r="F33" s="231"/>
      <c r="G33" s="227">
        <v>28560</v>
      </c>
      <c r="H33" s="231"/>
      <c r="I33" s="227">
        <v>27943</v>
      </c>
      <c r="J33" s="231" t="s">
        <v>8</v>
      </c>
      <c r="K33" s="227">
        <v>27048</v>
      </c>
      <c r="L33" s="231"/>
    </row>
    <row r="34" spans="1:12" ht="11.25" customHeight="1">
      <c r="A34" s="230" t="s">
        <v>469</v>
      </c>
      <c r="B34" s="226"/>
      <c r="C34" s="227">
        <v>520</v>
      </c>
      <c r="D34" s="231"/>
      <c r="E34" s="227">
        <v>380</v>
      </c>
      <c r="F34" s="231"/>
      <c r="G34" s="227">
        <v>450</v>
      </c>
      <c r="H34" s="231"/>
      <c r="I34" s="227">
        <v>380</v>
      </c>
      <c r="J34" s="231"/>
      <c r="K34" s="227">
        <v>560</v>
      </c>
      <c r="L34" s="231"/>
    </row>
    <row r="35" spans="1:12" ht="11.25" customHeight="1">
      <c r="A35" s="225" t="s">
        <v>270</v>
      </c>
      <c r="B35" s="226"/>
      <c r="C35" s="227">
        <v>1289</v>
      </c>
      <c r="D35" s="229"/>
      <c r="E35" s="227">
        <v>1050</v>
      </c>
      <c r="F35" s="229"/>
      <c r="G35" s="227">
        <v>1325</v>
      </c>
      <c r="H35" s="231"/>
      <c r="I35" s="227">
        <v>1317</v>
      </c>
      <c r="J35" s="231" t="s">
        <v>8</v>
      </c>
      <c r="K35" s="227">
        <v>1229</v>
      </c>
      <c r="L35" s="229"/>
    </row>
    <row r="36" spans="1:12" ht="11.25" customHeight="1">
      <c r="A36" s="225" t="s">
        <v>200</v>
      </c>
      <c r="B36" s="226"/>
      <c r="C36" s="227">
        <f>C37+C38</f>
        <v>50200</v>
      </c>
      <c r="D36" s="227"/>
      <c r="E36" s="227">
        <f t="shared" ref="E36:K36" si="4">E37+E38</f>
        <v>56030</v>
      </c>
      <c r="F36" s="227"/>
      <c r="G36" s="227">
        <f t="shared" si="4"/>
        <v>62105</v>
      </c>
      <c r="H36" s="227"/>
      <c r="I36" s="227">
        <f t="shared" si="4"/>
        <v>71160</v>
      </c>
      <c r="J36" s="227"/>
      <c r="K36" s="227">
        <f t="shared" si="4"/>
        <v>67700</v>
      </c>
      <c r="L36" s="235"/>
    </row>
    <row r="37" spans="1:12" ht="11.25" customHeight="1">
      <c r="A37" s="230" t="s">
        <v>259</v>
      </c>
      <c r="B37" s="226"/>
      <c r="C37" s="227">
        <v>29000</v>
      </c>
      <c r="D37" s="231" t="s">
        <v>9</v>
      </c>
      <c r="E37" s="227">
        <v>34000</v>
      </c>
      <c r="F37" s="231"/>
      <c r="G37" s="227">
        <v>38685</v>
      </c>
      <c r="H37" s="235"/>
      <c r="I37" s="227">
        <v>43600</v>
      </c>
      <c r="J37" s="231" t="s">
        <v>8</v>
      </c>
      <c r="K37" s="227">
        <v>48000</v>
      </c>
      <c r="L37" s="235"/>
    </row>
    <row r="38" spans="1:12" ht="11.25" customHeight="1">
      <c r="A38" s="230" t="s">
        <v>260</v>
      </c>
      <c r="B38" s="226"/>
      <c r="C38" s="227">
        <v>21200</v>
      </c>
      <c r="D38" s="231"/>
      <c r="E38" s="227">
        <v>22030</v>
      </c>
      <c r="F38" s="231"/>
      <c r="G38" s="227">
        <v>23420</v>
      </c>
      <c r="H38" s="231"/>
      <c r="I38" s="227">
        <v>27560</v>
      </c>
      <c r="J38" s="229"/>
      <c r="K38" s="227">
        <v>19700</v>
      </c>
      <c r="L38" s="229"/>
    </row>
    <row r="39" spans="1:12" ht="12.5" customHeight="1">
      <c r="A39" s="225" t="s">
        <v>470</v>
      </c>
      <c r="B39" s="226"/>
      <c r="C39" s="227">
        <v>1290</v>
      </c>
      <c r="D39" s="231"/>
      <c r="E39" s="227">
        <v>1230</v>
      </c>
      <c r="F39" s="231"/>
      <c r="G39" s="227">
        <v>1360</v>
      </c>
      <c r="H39" s="231"/>
      <c r="I39" s="227">
        <v>1200</v>
      </c>
      <c r="J39" s="231" t="s">
        <v>8</v>
      </c>
      <c r="K39" s="227">
        <v>1300</v>
      </c>
      <c r="L39" s="229"/>
    </row>
    <row r="40" spans="1:12" ht="11.25" customHeight="1">
      <c r="A40" s="225" t="s">
        <v>471</v>
      </c>
      <c r="B40" s="226"/>
      <c r="C40" s="227">
        <f>C41+C42</f>
        <v>9700</v>
      </c>
      <c r="D40" s="227"/>
      <c r="E40" s="227">
        <f t="shared" ref="E40:K40" si="5">E41+E42</f>
        <v>10600</v>
      </c>
      <c r="F40" s="227"/>
      <c r="G40" s="227">
        <f t="shared" si="5"/>
        <v>11900</v>
      </c>
      <c r="H40" s="227"/>
      <c r="I40" s="227">
        <f t="shared" si="5"/>
        <v>16500</v>
      </c>
      <c r="J40" s="227"/>
      <c r="K40" s="227">
        <f t="shared" si="5"/>
        <v>13700</v>
      </c>
      <c r="L40" s="235"/>
    </row>
    <row r="41" spans="1:12" ht="11.25" customHeight="1">
      <c r="A41" s="230" t="s">
        <v>298</v>
      </c>
      <c r="B41" s="226"/>
      <c r="C41" s="227">
        <v>2200</v>
      </c>
      <c r="D41" s="231"/>
      <c r="E41" s="227">
        <v>2400</v>
      </c>
      <c r="F41" s="231" t="s">
        <v>8</v>
      </c>
      <c r="G41" s="227">
        <v>2500</v>
      </c>
      <c r="H41" s="231" t="s">
        <v>8</v>
      </c>
      <c r="I41" s="227">
        <v>2500</v>
      </c>
      <c r="J41" s="231"/>
      <c r="K41" s="227">
        <v>2100</v>
      </c>
      <c r="L41" s="231"/>
    </row>
    <row r="42" spans="1:12" ht="11.25" customHeight="1">
      <c r="A42" s="230" t="s">
        <v>260</v>
      </c>
      <c r="B42" s="226"/>
      <c r="C42" s="227">
        <v>7500</v>
      </c>
      <c r="D42" s="231"/>
      <c r="E42" s="227">
        <v>8200</v>
      </c>
      <c r="F42" s="231" t="s">
        <v>8</v>
      </c>
      <c r="G42" s="227">
        <v>9400</v>
      </c>
      <c r="H42" s="231" t="s">
        <v>8</v>
      </c>
      <c r="I42" s="227">
        <v>14000</v>
      </c>
      <c r="J42" s="231" t="s">
        <v>8</v>
      </c>
      <c r="K42" s="227">
        <v>11600</v>
      </c>
      <c r="L42" s="231"/>
    </row>
    <row r="43" spans="1:12" ht="11.25" customHeight="1">
      <c r="A43" s="225" t="s">
        <v>272</v>
      </c>
      <c r="B43" s="226"/>
      <c r="C43" s="227">
        <v>10373</v>
      </c>
      <c r="D43" s="231"/>
      <c r="E43" s="227">
        <v>5719</v>
      </c>
      <c r="F43" s="229"/>
      <c r="G43" s="227">
        <v>8549</v>
      </c>
      <c r="H43" s="229"/>
      <c r="I43" s="227">
        <v>9800</v>
      </c>
      <c r="J43" s="229"/>
      <c r="K43" s="227">
        <v>9418</v>
      </c>
      <c r="L43" s="229"/>
    </row>
    <row r="44" spans="1:12" ht="11.25" customHeight="1">
      <c r="A44" s="225" t="s">
        <v>26</v>
      </c>
      <c r="B44" s="226"/>
      <c r="C44" s="227">
        <v>86171</v>
      </c>
      <c r="D44" s="229"/>
      <c r="E44" s="227">
        <v>66943</v>
      </c>
      <c r="F44" s="231"/>
      <c r="G44" s="227">
        <v>82283</v>
      </c>
      <c r="H44" s="231"/>
      <c r="I44" s="227">
        <v>81028</v>
      </c>
      <c r="J44" s="231"/>
      <c r="K44" s="227">
        <v>81405</v>
      </c>
      <c r="L44" s="231"/>
    </row>
    <row r="45" spans="1:12" ht="11.25" customHeight="1">
      <c r="A45" s="225" t="s">
        <v>28</v>
      </c>
      <c r="B45" s="226"/>
      <c r="C45" s="227">
        <v>3106</v>
      </c>
      <c r="D45" s="231"/>
      <c r="E45" s="227">
        <v>2996</v>
      </c>
      <c r="F45" s="231"/>
      <c r="G45" s="227">
        <v>2984</v>
      </c>
      <c r="H45" s="231"/>
      <c r="I45" s="227">
        <v>3141.2</v>
      </c>
      <c r="J45" s="231"/>
      <c r="K45" s="227">
        <v>2707</v>
      </c>
      <c r="L45" s="231"/>
    </row>
    <row r="46" spans="1:12" ht="12.5" customHeight="1">
      <c r="A46" s="225" t="s">
        <v>472</v>
      </c>
      <c r="B46" s="226"/>
      <c r="C46" s="227">
        <v>900</v>
      </c>
      <c r="D46" s="229"/>
      <c r="E46" s="227">
        <v>900</v>
      </c>
      <c r="F46" s="229"/>
      <c r="G46" s="227">
        <v>900</v>
      </c>
      <c r="H46" s="229"/>
      <c r="I46" s="227">
        <v>900</v>
      </c>
      <c r="J46" s="229"/>
      <c r="K46" s="227">
        <v>900</v>
      </c>
      <c r="L46" s="229"/>
    </row>
    <row r="47" spans="1:12" ht="11.25" customHeight="1">
      <c r="A47" s="225" t="s">
        <v>31</v>
      </c>
      <c r="B47" s="226"/>
      <c r="C47" s="227">
        <v>31042.781999999999</v>
      </c>
      <c r="D47" s="229"/>
      <c r="E47" s="227">
        <v>27475</v>
      </c>
      <c r="F47" s="231"/>
      <c r="G47" s="227">
        <v>31228.208999999999</v>
      </c>
      <c r="H47" s="231"/>
      <c r="I47" s="227">
        <v>42212.716999999997</v>
      </c>
      <c r="J47" s="231"/>
      <c r="K47" s="227">
        <v>40000</v>
      </c>
      <c r="L47" s="231" t="s">
        <v>9</v>
      </c>
    </row>
    <row r="48" spans="1:12" ht="11.25" customHeight="1">
      <c r="A48" s="225" t="s">
        <v>473</v>
      </c>
      <c r="B48" s="226"/>
      <c r="C48" s="227">
        <v>1569</v>
      </c>
      <c r="D48" s="229"/>
      <c r="E48" s="227">
        <v>1097</v>
      </c>
      <c r="F48" s="229"/>
      <c r="G48" s="227">
        <v>1270</v>
      </c>
      <c r="H48" s="231"/>
      <c r="I48" s="227">
        <v>300</v>
      </c>
      <c r="J48" s="229"/>
      <c r="K48" s="227">
        <v>510</v>
      </c>
      <c r="L48" s="229"/>
    </row>
    <row r="49" spans="1:12" ht="11.25" customHeight="1">
      <c r="A49" s="225" t="s">
        <v>387</v>
      </c>
      <c r="B49" s="226"/>
      <c r="C49" s="227">
        <v>1957</v>
      </c>
      <c r="D49" s="231"/>
      <c r="E49" s="227">
        <v>2388</v>
      </c>
      <c r="F49" s="228"/>
      <c r="G49" s="227">
        <v>2390</v>
      </c>
      <c r="H49" s="228"/>
      <c r="I49" s="227">
        <v>2876</v>
      </c>
      <c r="J49" s="228" t="s">
        <v>8</v>
      </c>
      <c r="K49" s="227">
        <v>2900</v>
      </c>
      <c r="L49" s="228" t="s">
        <v>9</v>
      </c>
    </row>
    <row r="50" spans="1:12" ht="11.25" customHeight="1">
      <c r="A50" s="225" t="s">
        <v>205</v>
      </c>
      <c r="B50" s="226"/>
      <c r="C50" s="227">
        <f>C51+C52</f>
        <v>10610</v>
      </c>
      <c r="D50" s="227"/>
      <c r="E50" s="227">
        <f t="shared" ref="E50:K50" si="6">E51+E52</f>
        <v>8132</v>
      </c>
      <c r="F50" s="227"/>
      <c r="G50" s="227">
        <f t="shared" si="6"/>
        <v>10175</v>
      </c>
      <c r="H50" s="227"/>
      <c r="I50" s="227">
        <f t="shared" si="6"/>
        <v>10500</v>
      </c>
      <c r="J50" s="227"/>
      <c r="K50" s="227">
        <f t="shared" si="6"/>
        <v>10292</v>
      </c>
      <c r="L50" s="227"/>
    </row>
    <row r="51" spans="1:12" ht="11.25" customHeight="1">
      <c r="A51" s="230" t="s">
        <v>259</v>
      </c>
      <c r="B51" s="226"/>
      <c r="C51" s="227">
        <v>4670</v>
      </c>
      <c r="D51" s="236"/>
      <c r="E51" s="227">
        <v>3929</v>
      </c>
      <c r="F51" s="237"/>
      <c r="G51" s="227">
        <v>4720</v>
      </c>
      <c r="H51" s="237"/>
      <c r="I51" s="227">
        <v>4600</v>
      </c>
      <c r="J51" s="236" t="s">
        <v>9</v>
      </c>
      <c r="K51" s="227">
        <v>4762</v>
      </c>
      <c r="L51" s="236"/>
    </row>
    <row r="52" spans="1:12" ht="11.25" customHeight="1">
      <c r="A52" s="230" t="s">
        <v>260</v>
      </c>
      <c r="B52" s="226"/>
      <c r="C52" s="227">
        <v>5940</v>
      </c>
      <c r="D52" s="236"/>
      <c r="E52" s="227">
        <v>4203</v>
      </c>
      <c r="F52" s="237"/>
      <c r="G52" s="227">
        <v>5455</v>
      </c>
      <c r="H52" s="237"/>
      <c r="I52" s="227">
        <v>5900</v>
      </c>
      <c r="J52" s="236" t="s">
        <v>9</v>
      </c>
      <c r="K52" s="227">
        <v>5530</v>
      </c>
      <c r="L52" s="236"/>
    </row>
    <row r="53" spans="1:12" ht="11.25" customHeight="1">
      <c r="A53" s="225" t="s">
        <v>474</v>
      </c>
      <c r="B53" s="226"/>
      <c r="C53" s="227">
        <v>15</v>
      </c>
      <c r="D53" s="229"/>
      <c r="E53" s="227">
        <v>15</v>
      </c>
      <c r="F53" s="229"/>
      <c r="G53" s="227">
        <v>15</v>
      </c>
      <c r="H53" s="229"/>
      <c r="I53" s="227">
        <v>12</v>
      </c>
      <c r="J53" s="229"/>
      <c r="K53" s="227">
        <v>12</v>
      </c>
      <c r="L53" s="229"/>
    </row>
    <row r="54" spans="1:12" ht="11.25" customHeight="1">
      <c r="A54" s="225" t="s">
        <v>475</v>
      </c>
      <c r="B54" s="226"/>
      <c r="C54" s="227">
        <v>6130</v>
      </c>
      <c r="D54" s="231"/>
      <c r="E54" s="227">
        <v>4655</v>
      </c>
      <c r="F54" s="235"/>
      <c r="G54" s="227">
        <v>5799</v>
      </c>
      <c r="H54" s="235"/>
      <c r="I54" s="227">
        <v>5900</v>
      </c>
      <c r="J54" s="231" t="s">
        <v>9</v>
      </c>
      <c r="K54" s="227">
        <v>5909</v>
      </c>
      <c r="L54" s="231"/>
    </row>
    <row r="55" spans="1:12" ht="11.25" customHeight="1">
      <c r="A55" s="225" t="s">
        <v>476</v>
      </c>
      <c r="B55" s="226"/>
      <c r="C55" s="227">
        <v>622</v>
      </c>
      <c r="D55" s="231"/>
      <c r="E55" s="227">
        <v>608</v>
      </c>
      <c r="F55" s="229"/>
      <c r="G55" s="227">
        <v>667</v>
      </c>
      <c r="H55" s="229"/>
      <c r="I55" s="227">
        <v>659</v>
      </c>
      <c r="J55" s="229"/>
      <c r="K55" s="227">
        <v>669</v>
      </c>
      <c r="L55" s="229"/>
    </row>
    <row r="56" spans="1:12" ht="12" customHeight="1">
      <c r="A56" s="225" t="s">
        <v>477</v>
      </c>
      <c r="B56" s="226"/>
      <c r="C56" s="227">
        <v>100</v>
      </c>
      <c r="D56" s="234"/>
      <c r="E56" s="227">
        <v>100</v>
      </c>
      <c r="F56" s="234"/>
      <c r="G56" s="227">
        <v>100</v>
      </c>
      <c r="H56" s="234"/>
      <c r="I56" s="227">
        <v>100</v>
      </c>
      <c r="J56" s="234"/>
      <c r="K56" s="227">
        <v>100</v>
      </c>
      <c r="L56" s="234"/>
    </row>
    <row r="57" spans="1:12" ht="11.25" customHeight="1">
      <c r="A57" s="225" t="s">
        <v>478</v>
      </c>
      <c r="B57" s="226"/>
      <c r="C57" s="232" t="s">
        <v>12</v>
      </c>
      <c r="D57" s="234"/>
      <c r="E57" s="232" t="s">
        <v>12</v>
      </c>
      <c r="F57" s="234"/>
      <c r="G57" s="232" t="s">
        <v>12</v>
      </c>
      <c r="H57" s="234"/>
      <c r="I57" s="227">
        <v>1110</v>
      </c>
      <c r="J57" s="234"/>
      <c r="K57" s="227">
        <v>1460</v>
      </c>
      <c r="L57" s="234"/>
    </row>
    <row r="58" spans="1:12" ht="11.25" customHeight="1">
      <c r="A58" s="225" t="s">
        <v>479</v>
      </c>
      <c r="B58" s="226"/>
      <c r="C58" s="227">
        <v>1000</v>
      </c>
      <c r="D58" s="229"/>
      <c r="E58" s="227">
        <v>700</v>
      </c>
      <c r="F58" s="231" t="s">
        <v>8</v>
      </c>
      <c r="G58" s="227">
        <v>483</v>
      </c>
      <c r="H58" s="231" t="s">
        <v>8</v>
      </c>
      <c r="I58" s="227">
        <v>500</v>
      </c>
      <c r="J58" s="231" t="s">
        <v>8</v>
      </c>
      <c r="K58" s="227">
        <v>450</v>
      </c>
      <c r="L58" s="229"/>
    </row>
    <row r="59" spans="1:12" ht="11.25" customHeight="1">
      <c r="A59" s="225" t="s">
        <v>280</v>
      </c>
      <c r="B59" s="238"/>
      <c r="C59" s="239">
        <v>145.41999999999999</v>
      </c>
      <c r="D59" s="240"/>
      <c r="E59" s="239">
        <v>145.5</v>
      </c>
      <c r="F59" s="240"/>
      <c r="G59" s="239">
        <v>150</v>
      </c>
      <c r="H59" s="240" t="s">
        <v>79</v>
      </c>
      <c r="I59" s="239">
        <v>45</v>
      </c>
      <c r="J59" s="240" t="s">
        <v>8</v>
      </c>
      <c r="K59" s="239">
        <v>68</v>
      </c>
      <c r="L59" s="240"/>
    </row>
    <row r="60" spans="1:12" ht="11.25" customHeight="1">
      <c r="A60" s="416" t="s">
        <v>203</v>
      </c>
      <c r="B60" s="405"/>
      <c r="C60" s="405"/>
      <c r="D60" s="405"/>
      <c r="E60" s="405"/>
      <c r="F60" s="405"/>
      <c r="G60" s="405"/>
      <c r="H60" s="405"/>
      <c r="I60" s="405"/>
      <c r="J60" s="405"/>
      <c r="K60" s="405"/>
      <c r="L60" s="405"/>
    </row>
    <row r="61" spans="1:12" ht="11.25" customHeight="1">
      <c r="A61" s="416"/>
      <c r="B61" s="405"/>
      <c r="C61" s="405"/>
      <c r="D61" s="405"/>
      <c r="E61" s="405"/>
      <c r="F61" s="405"/>
      <c r="G61" s="405"/>
      <c r="H61" s="405"/>
      <c r="I61" s="405"/>
      <c r="J61" s="405"/>
      <c r="K61" s="405"/>
      <c r="L61" s="405"/>
    </row>
    <row r="62" spans="1:12" ht="11.25" customHeight="1">
      <c r="A62" s="416"/>
      <c r="B62" s="405"/>
      <c r="C62" s="405"/>
      <c r="D62" s="405"/>
      <c r="E62" s="405"/>
      <c r="F62" s="405"/>
      <c r="G62" s="405"/>
      <c r="H62" s="405"/>
      <c r="I62" s="405"/>
      <c r="J62" s="405"/>
      <c r="K62" s="405"/>
      <c r="L62" s="405"/>
    </row>
    <row r="63" spans="1:12" ht="11.25" customHeight="1">
      <c r="A63" s="417" t="s">
        <v>389</v>
      </c>
      <c r="B63" s="418"/>
      <c r="C63" s="418"/>
      <c r="D63" s="418"/>
      <c r="E63" s="418"/>
      <c r="F63" s="418"/>
      <c r="G63" s="418"/>
      <c r="H63" s="418"/>
      <c r="I63" s="418"/>
      <c r="J63" s="418"/>
      <c r="K63" s="418"/>
      <c r="L63" s="418"/>
    </row>
    <row r="64" spans="1:12" ht="11.25" customHeight="1">
      <c r="A64" s="417" t="s">
        <v>463</v>
      </c>
      <c r="B64" s="418"/>
      <c r="C64" s="418"/>
      <c r="D64" s="418"/>
      <c r="E64" s="418"/>
      <c r="F64" s="418"/>
      <c r="G64" s="418"/>
      <c r="H64" s="418"/>
      <c r="I64" s="418"/>
      <c r="J64" s="418"/>
      <c r="K64" s="418"/>
      <c r="L64" s="418"/>
    </row>
    <row r="65" spans="1:12" ht="11.25" customHeight="1">
      <c r="A65" s="419"/>
      <c r="B65" s="419"/>
      <c r="C65" s="419"/>
      <c r="D65" s="419"/>
      <c r="E65" s="419"/>
      <c r="F65" s="419"/>
      <c r="G65" s="419"/>
      <c r="H65" s="419"/>
      <c r="I65" s="419"/>
      <c r="J65" s="419"/>
      <c r="K65" s="419"/>
      <c r="L65" s="419"/>
    </row>
    <row r="66" spans="1:12" ht="11.25" customHeight="1">
      <c r="A66" s="417" t="s">
        <v>0</v>
      </c>
      <c r="B66" s="417"/>
      <c r="C66" s="417"/>
      <c r="D66" s="417"/>
      <c r="E66" s="417"/>
      <c r="F66" s="417"/>
      <c r="G66" s="417"/>
      <c r="H66" s="417"/>
      <c r="I66" s="417"/>
      <c r="J66" s="417"/>
      <c r="K66" s="417"/>
      <c r="L66" s="417"/>
    </row>
    <row r="67" spans="1:12" ht="11.25" customHeight="1">
      <c r="A67" s="420"/>
      <c r="B67" s="420"/>
      <c r="C67" s="420"/>
      <c r="D67" s="420"/>
      <c r="E67" s="420"/>
      <c r="F67" s="420"/>
      <c r="G67" s="420"/>
      <c r="H67" s="420"/>
      <c r="I67" s="420"/>
      <c r="J67" s="420"/>
      <c r="K67" s="420"/>
      <c r="L67" s="420"/>
    </row>
    <row r="68" spans="1:12" ht="12.5" customHeight="1">
      <c r="A68" s="220" t="s">
        <v>464</v>
      </c>
      <c r="B68" s="221"/>
      <c r="C68" s="222" t="s">
        <v>95</v>
      </c>
      <c r="D68" s="223"/>
      <c r="E68" s="222" t="s">
        <v>96</v>
      </c>
      <c r="F68" s="223"/>
      <c r="G68" s="222" t="s">
        <v>97</v>
      </c>
      <c r="H68" s="223"/>
      <c r="I68" s="222" t="s">
        <v>98</v>
      </c>
      <c r="J68" s="224"/>
      <c r="K68" s="222" t="s">
        <v>465</v>
      </c>
      <c r="L68" s="224"/>
    </row>
    <row r="69" spans="1:12" ht="11.25" customHeight="1">
      <c r="A69" s="241" t="s">
        <v>207</v>
      </c>
      <c r="B69" s="226"/>
      <c r="C69" s="227">
        <v>330</v>
      </c>
      <c r="D69" s="231" t="s">
        <v>8</v>
      </c>
      <c r="E69" s="227">
        <v>330</v>
      </c>
      <c r="F69" s="231" t="s">
        <v>8</v>
      </c>
      <c r="G69" s="227">
        <v>330</v>
      </c>
      <c r="H69" s="231" t="s">
        <v>8</v>
      </c>
      <c r="I69" s="227">
        <v>330</v>
      </c>
      <c r="J69" s="231" t="s">
        <v>8</v>
      </c>
      <c r="K69" s="227">
        <v>330</v>
      </c>
      <c r="L69" s="242"/>
    </row>
    <row r="70" spans="1:12" ht="12" customHeight="1">
      <c r="A70" s="230" t="s">
        <v>480</v>
      </c>
      <c r="B70" s="226"/>
      <c r="C70" s="227">
        <v>330</v>
      </c>
      <c r="D70" s="231" t="s">
        <v>8</v>
      </c>
      <c r="E70" s="227">
        <v>330</v>
      </c>
      <c r="F70" s="231" t="s">
        <v>8</v>
      </c>
      <c r="G70" s="227">
        <v>330</v>
      </c>
      <c r="H70" s="231" t="s">
        <v>8</v>
      </c>
      <c r="I70" s="227">
        <v>330</v>
      </c>
      <c r="J70" s="231" t="s">
        <v>8</v>
      </c>
      <c r="K70" s="227">
        <v>330</v>
      </c>
      <c r="L70" s="231"/>
    </row>
    <row r="71" spans="1:12" ht="11.25" customHeight="1">
      <c r="A71" s="230" t="s">
        <v>260</v>
      </c>
      <c r="B71" s="226"/>
      <c r="C71" s="232" t="s">
        <v>13</v>
      </c>
      <c r="D71" s="228" t="s">
        <v>8</v>
      </c>
      <c r="E71" s="232" t="s">
        <v>13</v>
      </c>
      <c r="F71" s="228" t="s">
        <v>8</v>
      </c>
      <c r="G71" s="232" t="s">
        <v>13</v>
      </c>
      <c r="H71" s="228" t="s">
        <v>8</v>
      </c>
      <c r="I71" s="232" t="s">
        <v>13</v>
      </c>
      <c r="J71" s="228" t="s">
        <v>8</v>
      </c>
      <c r="K71" s="232" t="s">
        <v>13</v>
      </c>
      <c r="L71" s="84"/>
    </row>
    <row r="72" spans="1:12" ht="11.25" customHeight="1">
      <c r="A72" s="225" t="s">
        <v>281</v>
      </c>
      <c r="B72" s="226"/>
      <c r="C72" s="227">
        <v>4933.7809999999999</v>
      </c>
      <c r="D72" s="229"/>
      <c r="E72" s="227">
        <v>2983.5</v>
      </c>
      <c r="F72" s="231" t="s">
        <v>8</v>
      </c>
      <c r="G72" s="227">
        <v>3638</v>
      </c>
      <c r="H72" s="231"/>
      <c r="I72" s="227">
        <v>3974.93</v>
      </c>
      <c r="J72" s="231" t="s">
        <v>8</v>
      </c>
      <c r="K72" s="227">
        <v>3952</v>
      </c>
      <c r="L72" s="229"/>
    </row>
    <row r="73" spans="1:12" ht="12" customHeight="1">
      <c r="A73" s="225" t="s">
        <v>481</v>
      </c>
      <c r="B73" s="226"/>
      <c r="C73" s="227">
        <v>100</v>
      </c>
      <c r="D73" s="84"/>
      <c r="E73" s="227">
        <v>100</v>
      </c>
      <c r="F73" s="84"/>
      <c r="G73" s="227">
        <v>100</v>
      </c>
      <c r="H73" s="84"/>
      <c r="I73" s="227">
        <v>100</v>
      </c>
      <c r="J73" s="84"/>
      <c r="K73" s="227">
        <v>100</v>
      </c>
      <c r="L73" s="84"/>
    </row>
    <row r="74" spans="1:12" ht="11.25" customHeight="1">
      <c r="A74" s="225" t="s">
        <v>283</v>
      </c>
      <c r="B74" s="226"/>
      <c r="C74" s="227">
        <v>1700</v>
      </c>
      <c r="D74" s="231" t="s">
        <v>9</v>
      </c>
      <c r="E74" s="227">
        <v>2100</v>
      </c>
      <c r="F74" s="84"/>
      <c r="G74" s="227">
        <v>2157</v>
      </c>
      <c r="H74" s="243"/>
      <c r="I74" s="227">
        <v>2230</v>
      </c>
      <c r="J74" s="84"/>
      <c r="K74" s="227">
        <v>2420</v>
      </c>
      <c r="L74" s="84"/>
    </row>
    <row r="75" spans="1:12" ht="11.25" customHeight="1">
      <c r="A75" s="244" t="s">
        <v>85</v>
      </c>
      <c r="B75" s="245"/>
      <c r="C75" s="227">
        <v>2945</v>
      </c>
      <c r="D75" s="231"/>
      <c r="E75" s="227">
        <v>1575</v>
      </c>
      <c r="F75" s="231"/>
      <c r="G75" s="227">
        <v>1880</v>
      </c>
      <c r="H75" s="229"/>
      <c r="I75" s="227">
        <v>1600</v>
      </c>
      <c r="J75" s="231" t="s">
        <v>9</v>
      </c>
      <c r="K75" s="227">
        <v>1500</v>
      </c>
      <c r="L75" s="231" t="s">
        <v>9</v>
      </c>
    </row>
    <row r="76" spans="1:12" ht="11.25" customHeight="1">
      <c r="A76" s="246" t="s">
        <v>208</v>
      </c>
      <c r="B76" s="245"/>
      <c r="C76" s="227">
        <f>C77+C78</f>
        <v>52860</v>
      </c>
      <c r="D76" s="227"/>
      <c r="E76" s="227">
        <f t="shared" ref="E76:K76" si="7">E77+E78</f>
        <v>48600</v>
      </c>
      <c r="F76" s="227"/>
      <c r="G76" s="227">
        <f t="shared" si="7"/>
        <v>52900</v>
      </c>
      <c r="H76" s="227"/>
      <c r="I76" s="227">
        <f t="shared" si="7"/>
        <v>52900</v>
      </c>
      <c r="J76" s="227"/>
      <c r="K76" s="227">
        <f t="shared" si="7"/>
        <v>54000</v>
      </c>
      <c r="L76" s="227"/>
    </row>
    <row r="77" spans="1:12" ht="11.25" customHeight="1">
      <c r="A77" s="230" t="s">
        <v>298</v>
      </c>
      <c r="B77" s="245"/>
      <c r="C77" s="227">
        <v>48300</v>
      </c>
      <c r="D77" s="229"/>
      <c r="E77" s="227">
        <v>43930</v>
      </c>
      <c r="F77" s="229"/>
      <c r="G77" s="227">
        <v>48200</v>
      </c>
      <c r="H77" s="231"/>
      <c r="I77" s="227">
        <v>48000</v>
      </c>
      <c r="J77" s="231" t="s">
        <v>79</v>
      </c>
      <c r="K77" s="227">
        <v>49000</v>
      </c>
      <c r="L77" s="231" t="s">
        <v>9</v>
      </c>
    </row>
    <row r="78" spans="1:12" ht="11.25" customHeight="1">
      <c r="A78" s="230" t="s">
        <v>469</v>
      </c>
      <c r="B78" s="245"/>
      <c r="C78" s="227">
        <v>4560</v>
      </c>
      <c r="D78" s="231"/>
      <c r="E78" s="227">
        <v>4670</v>
      </c>
      <c r="F78" s="231"/>
      <c r="G78" s="227">
        <v>4700</v>
      </c>
      <c r="H78" s="231"/>
      <c r="I78" s="227">
        <v>4900</v>
      </c>
      <c r="J78" s="231" t="s">
        <v>8</v>
      </c>
      <c r="K78" s="227">
        <v>5000</v>
      </c>
      <c r="L78" s="231"/>
    </row>
    <row r="79" spans="1:12" ht="12" customHeight="1">
      <c r="A79" s="246" t="s">
        <v>482</v>
      </c>
      <c r="B79" s="245"/>
      <c r="C79" s="227">
        <v>4970</v>
      </c>
      <c r="D79" s="231" t="s">
        <v>483</v>
      </c>
      <c r="E79" s="227">
        <v>5000</v>
      </c>
      <c r="F79" s="231"/>
      <c r="G79" s="227">
        <v>5500</v>
      </c>
      <c r="H79" s="231" t="s">
        <v>8</v>
      </c>
      <c r="I79" s="227">
        <v>5800</v>
      </c>
      <c r="J79" s="231" t="s">
        <v>8</v>
      </c>
      <c r="K79" s="227">
        <v>5700</v>
      </c>
      <c r="L79" s="231"/>
    </row>
    <row r="80" spans="1:12" ht="11.25" customHeight="1">
      <c r="A80" s="246" t="s">
        <v>398</v>
      </c>
      <c r="B80" s="245"/>
      <c r="C80" s="227">
        <v>1582</v>
      </c>
      <c r="D80" s="229"/>
      <c r="E80" s="227">
        <v>1006</v>
      </c>
      <c r="F80" s="229"/>
      <c r="G80" s="227">
        <v>1265</v>
      </c>
      <c r="H80" s="229"/>
      <c r="I80" s="227">
        <v>1226</v>
      </c>
      <c r="J80" s="229"/>
      <c r="K80" s="227">
        <v>312</v>
      </c>
      <c r="L80" s="231" t="s">
        <v>399</v>
      </c>
    </row>
    <row r="81" spans="1:12" ht="11.25" customHeight="1">
      <c r="A81" s="246" t="s">
        <v>38</v>
      </c>
      <c r="B81" s="245"/>
      <c r="C81" s="227">
        <v>3529</v>
      </c>
      <c r="D81" s="229"/>
      <c r="E81" s="227">
        <v>3019</v>
      </c>
      <c r="F81" s="229"/>
      <c r="G81" s="227">
        <v>3649</v>
      </c>
      <c r="H81" s="229"/>
      <c r="I81" s="227">
        <v>3346</v>
      </c>
      <c r="J81" s="231" t="s">
        <v>8</v>
      </c>
      <c r="K81" s="227">
        <v>3400</v>
      </c>
      <c r="L81" s="231" t="s">
        <v>9</v>
      </c>
    </row>
    <row r="82" spans="1:12" ht="11.25" customHeight="1">
      <c r="A82" s="246" t="s">
        <v>209</v>
      </c>
      <c r="B82" s="245"/>
      <c r="C82" s="227">
        <f>C83+C84</f>
        <v>6316</v>
      </c>
      <c r="D82" s="227"/>
      <c r="E82" s="227">
        <f t="shared" ref="E82:K82" si="8">E83+E84</f>
        <v>5784</v>
      </c>
      <c r="F82" s="227"/>
      <c r="G82" s="227">
        <f t="shared" si="8"/>
        <v>6549</v>
      </c>
      <c r="H82" s="227"/>
      <c r="I82" s="227">
        <f t="shared" si="8"/>
        <v>6018</v>
      </c>
      <c r="J82" s="227"/>
      <c r="K82" s="227">
        <f t="shared" si="8"/>
        <v>6500</v>
      </c>
      <c r="L82" s="235"/>
    </row>
    <row r="83" spans="1:12" ht="11.25" customHeight="1">
      <c r="A83" s="230" t="s">
        <v>259</v>
      </c>
      <c r="B83" s="245"/>
      <c r="C83" s="227">
        <v>5138</v>
      </c>
      <c r="D83" s="231"/>
      <c r="E83" s="227">
        <v>4444</v>
      </c>
      <c r="F83" s="231"/>
      <c r="G83" s="227">
        <v>5429</v>
      </c>
      <c r="H83" s="231" t="s">
        <v>8</v>
      </c>
      <c r="I83" s="227">
        <v>4604</v>
      </c>
      <c r="J83" s="231" t="s">
        <v>8</v>
      </c>
      <c r="K83" s="227">
        <v>4900</v>
      </c>
      <c r="L83" s="231" t="s">
        <v>9</v>
      </c>
    </row>
    <row r="84" spans="1:12" ht="11.25" customHeight="1">
      <c r="A84" s="230" t="s">
        <v>260</v>
      </c>
      <c r="B84" s="245"/>
      <c r="C84" s="227">
        <v>1178</v>
      </c>
      <c r="D84" s="231"/>
      <c r="E84" s="227">
        <v>1340</v>
      </c>
      <c r="F84" s="231"/>
      <c r="G84" s="227">
        <v>1120</v>
      </c>
      <c r="H84" s="231"/>
      <c r="I84" s="227">
        <v>1414</v>
      </c>
      <c r="J84" s="231" t="s">
        <v>8</v>
      </c>
      <c r="K84" s="227">
        <v>1600</v>
      </c>
      <c r="L84" s="231" t="s">
        <v>9</v>
      </c>
    </row>
    <row r="85" spans="1:12" ht="11.25" customHeight="1">
      <c r="A85" s="246" t="s">
        <v>288</v>
      </c>
      <c r="B85" s="245"/>
      <c r="C85" s="227">
        <v>3995</v>
      </c>
      <c r="D85" s="231"/>
      <c r="E85" s="227">
        <v>4200</v>
      </c>
      <c r="F85" s="231" t="s">
        <v>8</v>
      </c>
      <c r="G85" s="227">
        <v>3572</v>
      </c>
      <c r="H85" s="231" t="s">
        <v>8</v>
      </c>
      <c r="I85" s="227">
        <v>3540</v>
      </c>
      <c r="J85" s="231" t="s">
        <v>8</v>
      </c>
      <c r="K85" s="227">
        <v>3570</v>
      </c>
      <c r="L85" s="231"/>
    </row>
    <row r="86" spans="1:12" ht="11.25" customHeight="1">
      <c r="A86" s="246" t="s">
        <v>39</v>
      </c>
      <c r="B86" s="245"/>
      <c r="C86" s="227">
        <v>3583</v>
      </c>
      <c r="D86" s="231" t="s">
        <v>8</v>
      </c>
      <c r="E86" s="227">
        <v>1966</v>
      </c>
      <c r="F86" s="231" t="s">
        <v>8</v>
      </c>
      <c r="G86" s="227">
        <v>3447</v>
      </c>
      <c r="H86" s="231" t="s">
        <v>8</v>
      </c>
      <c r="I86" s="227">
        <v>3240</v>
      </c>
      <c r="J86" s="231" t="s">
        <v>8</v>
      </c>
      <c r="K86" s="227">
        <v>2800</v>
      </c>
      <c r="L86" s="231" t="s">
        <v>9</v>
      </c>
    </row>
    <row r="87" spans="1:12" ht="11.25" customHeight="1">
      <c r="A87" s="246" t="s">
        <v>290</v>
      </c>
      <c r="B87" s="245"/>
      <c r="C87" s="227">
        <v>9750</v>
      </c>
      <c r="D87" s="231"/>
      <c r="E87" s="227">
        <v>7939</v>
      </c>
      <c r="F87" s="229"/>
      <c r="G87" s="227">
        <v>9358</v>
      </c>
      <c r="H87" s="229"/>
      <c r="I87" s="227">
        <v>12940</v>
      </c>
      <c r="J87" s="229"/>
      <c r="K87" s="227">
        <v>11800</v>
      </c>
      <c r="L87" s="231" t="s">
        <v>9</v>
      </c>
    </row>
    <row r="88" spans="1:12" ht="11.25" customHeight="1">
      <c r="A88" s="246" t="s">
        <v>291</v>
      </c>
      <c r="B88" s="245"/>
      <c r="C88" s="227">
        <v>1600</v>
      </c>
      <c r="D88" s="231"/>
      <c r="E88" s="227">
        <v>1182</v>
      </c>
      <c r="F88" s="235"/>
      <c r="G88" s="227">
        <v>1752</v>
      </c>
      <c r="H88" s="231"/>
      <c r="I88" s="227">
        <v>1915</v>
      </c>
      <c r="J88" s="231"/>
      <c r="K88" s="227">
        <v>1699</v>
      </c>
      <c r="L88" s="231"/>
    </row>
    <row r="89" spans="1:12" ht="11.25" customHeight="1">
      <c r="A89" s="246" t="s">
        <v>45</v>
      </c>
      <c r="B89" s="245"/>
      <c r="C89" s="227">
        <v>6697</v>
      </c>
      <c r="D89" s="231" t="s">
        <v>8</v>
      </c>
      <c r="E89" s="227">
        <v>6913.3249999999998</v>
      </c>
      <c r="F89" s="231" t="s">
        <v>8</v>
      </c>
      <c r="G89" s="227">
        <v>7676.5919999999996</v>
      </c>
      <c r="H89" s="231" t="s">
        <v>8</v>
      </c>
      <c r="I89" s="227">
        <v>7700</v>
      </c>
      <c r="J89" s="231" t="s">
        <v>79</v>
      </c>
      <c r="K89" s="227">
        <v>8600</v>
      </c>
      <c r="L89" s="231" t="s">
        <v>9</v>
      </c>
    </row>
    <row r="90" spans="1:12" ht="11.25" customHeight="1">
      <c r="A90" s="246" t="s">
        <v>49</v>
      </c>
      <c r="B90" s="245"/>
      <c r="C90" s="227">
        <v>30982</v>
      </c>
      <c r="D90" s="229"/>
      <c r="E90" s="227">
        <v>25682</v>
      </c>
      <c r="F90" s="231"/>
      <c r="G90" s="227">
        <v>27361</v>
      </c>
      <c r="H90" s="229"/>
      <c r="I90" s="227">
        <v>28881.1</v>
      </c>
      <c r="J90" s="229"/>
      <c r="K90" s="227">
        <v>28513.5</v>
      </c>
      <c r="L90" s="229"/>
    </row>
    <row r="91" spans="1:12" ht="11.25" customHeight="1">
      <c r="A91" s="246" t="s">
        <v>50</v>
      </c>
      <c r="B91" s="245"/>
      <c r="C91" s="227">
        <v>10137</v>
      </c>
      <c r="D91" s="231"/>
      <c r="E91" s="227">
        <v>7674</v>
      </c>
      <c r="F91" s="229"/>
      <c r="G91" s="227">
        <v>7235</v>
      </c>
      <c r="H91" s="229"/>
      <c r="I91" s="227">
        <v>6600</v>
      </c>
      <c r="J91" s="229"/>
      <c r="K91" s="227">
        <v>7252</v>
      </c>
      <c r="L91" s="229"/>
    </row>
    <row r="92" spans="1:12" ht="11.25" customHeight="1">
      <c r="A92" s="246" t="s">
        <v>210</v>
      </c>
      <c r="B92" s="245"/>
      <c r="C92" s="227">
        <f>C93+C94</f>
        <v>33960</v>
      </c>
      <c r="D92" s="247"/>
      <c r="E92" s="227">
        <v>19000</v>
      </c>
      <c r="F92" s="231"/>
      <c r="G92" s="227">
        <v>26800</v>
      </c>
      <c r="H92" s="229"/>
      <c r="I92" s="227">
        <v>30200</v>
      </c>
      <c r="J92" s="229"/>
      <c r="K92" s="227">
        <v>32100</v>
      </c>
      <c r="L92" s="247"/>
    </row>
    <row r="93" spans="1:12" ht="11.25" customHeight="1">
      <c r="A93" s="230" t="s">
        <v>259</v>
      </c>
      <c r="B93" s="245"/>
      <c r="C93" s="227">
        <v>33700</v>
      </c>
      <c r="D93" s="229"/>
      <c r="E93" s="227">
        <v>19000</v>
      </c>
      <c r="F93" s="231"/>
      <c r="G93" s="227">
        <v>26800</v>
      </c>
      <c r="H93" s="229"/>
      <c r="I93" s="227">
        <v>30200</v>
      </c>
      <c r="J93" s="229"/>
      <c r="K93" s="227">
        <v>32100</v>
      </c>
      <c r="L93" s="229"/>
    </row>
    <row r="94" spans="1:12" ht="11.25" customHeight="1">
      <c r="A94" s="230" t="s">
        <v>260</v>
      </c>
      <c r="B94" s="245"/>
      <c r="C94" s="227">
        <v>260</v>
      </c>
      <c r="D94" s="229"/>
      <c r="E94" s="233" t="s">
        <v>12</v>
      </c>
      <c r="F94" s="229"/>
      <c r="G94" s="233" t="s">
        <v>12</v>
      </c>
      <c r="H94" s="229"/>
      <c r="I94" s="233" t="s">
        <v>12</v>
      </c>
      <c r="J94" s="229"/>
      <c r="K94" s="233" t="s">
        <v>12</v>
      </c>
      <c r="L94" s="229"/>
    </row>
    <row r="95" spans="1:12" ht="11.25" customHeight="1">
      <c r="A95" s="246" t="s">
        <v>294</v>
      </c>
      <c r="B95" s="245"/>
      <c r="C95" s="248">
        <v>8400</v>
      </c>
      <c r="D95" s="249" t="s">
        <v>8</v>
      </c>
      <c r="E95" s="248">
        <v>8500</v>
      </c>
      <c r="F95" s="249" t="s">
        <v>8</v>
      </c>
      <c r="G95" s="248">
        <v>8500</v>
      </c>
      <c r="H95" s="249" t="s">
        <v>79</v>
      </c>
      <c r="I95" s="248">
        <v>4470</v>
      </c>
      <c r="J95" s="249" t="s">
        <v>8</v>
      </c>
      <c r="K95" s="248">
        <v>4594</v>
      </c>
      <c r="L95" s="249"/>
    </row>
    <row r="96" spans="1:12" ht="11.25" customHeight="1">
      <c r="A96" s="250" t="s">
        <v>296</v>
      </c>
      <c r="B96" s="245"/>
      <c r="C96" s="227">
        <v>998000</v>
      </c>
      <c r="D96" s="228"/>
      <c r="E96" s="227">
        <v>986000</v>
      </c>
      <c r="F96" s="228"/>
      <c r="G96" s="227">
        <v>1100000</v>
      </c>
      <c r="H96" s="228" t="s">
        <v>8</v>
      </c>
      <c r="I96" s="227">
        <v>1180000</v>
      </c>
      <c r="J96" s="228" t="s">
        <v>8</v>
      </c>
      <c r="K96" s="227">
        <v>1180000</v>
      </c>
      <c r="L96" s="227"/>
    </row>
    <row r="97" spans="1:12" ht="11.25" customHeight="1">
      <c r="A97" s="251" t="s">
        <v>297</v>
      </c>
      <c r="B97" s="245"/>
      <c r="C97" s="227"/>
      <c r="D97" s="227"/>
      <c r="E97" s="227"/>
      <c r="F97" s="227"/>
      <c r="G97" s="227"/>
      <c r="H97" s="227"/>
      <c r="I97" s="227"/>
      <c r="J97" s="227"/>
      <c r="K97" s="227"/>
      <c r="L97" s="227"/>
    </row>
    <row r="98" spans="1:12" ht="12.5" customHeight="1">
      <c r="A98" s="252" t="s">
        <v>484</v>
      </c>
      <c r="B98" s="245"/>
      <c r="C98" s="227">
        <v>931000</v>
      </c>
      <c r="D98" s="228"/>
      <c r="E98" s="227">
        <v>919000</v>
      </c>
      <c r="F98" s="228" t="s">
        <v>8</v>
      </c>
      <c r="G98" s="227">
        <v>1030000</v>
      </c>
      <c r="H98" s="228" t="s">
        <v>8</v>
      </c>
      <c r="I98" s="227">
        <v>1100000</v>
      </c>
      <c r="J98" s="228" t="s">
        <v>8</v>
      </c>
      <c r="K98" s="227">
        <v>1110000</v>
      </c>
      <c r="L98" s="227"/>
    </row>
    <row r="99" spans="1:12" ht="11.25" customHeight="1">
      <c r="A99" s="253" t="s">
        <v>485</v>
      </c>
      <c r="B99" s="254"/>
      <c r="C99" s="227">
        <v>67800</v>
      </c>
      <c r="D99" s="228" t="s">
        <v>8</v>
      </c>
      <c r="E99" s="227">
        <v>66500</v>
      </c>
      <c r="F99" s="228" t="s">
        <v>8</v>
      </c>
      <c r="G99" s="227">
        <v>72600</v>
      </c>
      <c r="H99" s="228" t="s">
        <v>8</v>
      </c>
      <c r="I99" s="227">
        <v>79400</v>
      </c>
      <c r="J99" s="228" t="s">
        <v>8</v>
      </c>
      <c r="K99" s="227">
        <v>69900</v>
      </c>
      <c r="L99" s="255"/>
    </row>
    <row r="100" spans="1:12" ht="11.25" customHeight="1">
      <c r="A100" s="423" t="s">
        <v>486</v>
      </c>
      <c r="B100" s="424"/>
      <c r="C100" s="424"/>
      <c r="D100" s="424"/>
      <c r="E100" s="424"/>
      <c r="F100" s="424"/>
      <c r="G100" s="424"/>
      <c r="H100" s="424"/>
      <c r="I100" s="424"/>
      <c r="J100" s="424"/>
      <c r="K100" s="424"/>
      <c r="L100" s="424"/>
    </row>
    <row r="101" spans="1:12" ht="11.25" customHeight="1">
      <c r="A101" s="421" t="s">
        <v>487</v>
      </c>
      <c r="B101" s="422"/>
      <c r="C101" s="422"/>
      <c r="D101" s="422"/>
      <c r="E101" s="422"/>
      <c r="F101" s="422"/>
      <c r="G101" s="422"/>
      <c r="H101" s="422"/>
      <c r="I101" s="422"/>
      <c r="J101" s="422"/>
      <c r="K101" s="422"/>
      <c r="L101" s="422"/>
    </row>
    <row r="102" spans="1:12" ht="11.25" customHeight="1">
      <c r="A102" s="421" t="s">
        <v>488</v>
      </c>
      <c r="B102" s="422"/>
      <c r="C102" s="422"/>
      <c r="D102" s="422"/>
      <c r="E102" s="422"/>
      <c r="F102" s="422"/>
      <c r="G102" s="422"/>
      <c r="H102" s="422"/>
      <c r="I102" s="422"/>
      <c r="J102" s="422"/>
      <c r="K102" s="422"/>
      <c r="L102" s="422"/>
    </row>
    <row r="103" spans="1:12" ht="11.25" customHeight="1">
      <c r="A103" s="421" t="s">
        <v>489</v>
      </c>
      <c r="B103" s="422"/>
      <c r="C103" s="422"/>
      <c r="D103" s="422"/>
      <c r="E103" s="422"/>
      <c r="F103" s="422"/>
      <c r="G103" s="422"/>
      <c r="H103" s="422"/>
      <c r="I103" s="422"/>
      <c r="J103" s="422"/>
      <c r="K103" s="422"/>
      <c r="L103" s="422"/>
    </row>
    <row r="104" spans="1:12" ht="11.25" customHeight="1">
      <c r="A104" s="421" t="s">
        <v>490</v>
      </c>
      <c r="B104" s="422"/>
      <c r="C104" s="422"/>
      <c r="D104" s="422"/>
      <c r="E104" s="422"/>
      <c r="F104" s="422"/>
      <c r="G104" s="422"/>
      <c r="H104" s="422"/>
      <c r="I104" s="422"/>
      <c r="J104" s="422"/>
      <c r="K104" s="422"/>
      <c r="L104" s="422"/>
    </row>
    <row r="105" spans="1:12" ht="11.25" customHeight="1">
      <c r="A105" s="421" t="s">
        <v>491</v>
      </c>
      <c r="B105" s="422"/>
      <c r="C105" s="422"/>
      <c r="D105" s="422"/>
      <c r="E105" s="422"/>
      <c r="F105" s="422"/>
      <c r="G105" s="422"/>
      <c r="H105" s="422"/>
      <c r="I105" s="422"/>
      <c r="J105" s="422"/>
      <c r="K105" s="422"/>
      <c r="L105" s="422"/>
    </row>
    <row r="106" spans="1:12" ht="11.25" customHeight="1">
      <c r="A106" s="416" t="s">
        <v>492</v>
      </c>
      <c r="B106" s="422"/>
      <c r="C106" s="422"/>
      <c r="D106" s="422"/>
      <c r="E106" s="422"/>
      <c r="F106" s="422"/>
      <c r="G106" s="422"/>
      <c r="H106" s="422"/>
      <c r="I106" s="422"/>
      <c r="J106" s="422"/>
      <c r="K106" s="422"/>
      <c r="L106" s="422"/>
    </row>
    <row r="107" spans="1:12" ht="11.25" customHeight="1">
      <c r="A107" s="416" t="s">
        <v>493</v>
      </c>
      <c r="B107" s="426"/>
      <c r="C107" s="426"/>
      <c r="D107" s="426"/>
      <c r="E107" s="426"/>
      <c r="F107" s="426"/>
      <c r="G107" s="426"/>
      <c r="H107" s="426"/>
      <c r="I107" s="426"/>
      <c r="J107" s="426"/>
      <c r="K107" s="426"/>
      <c r="L107" s="426"/>
    </row>
    <row r="108" spans="1:12" ht="11.25" customHeight="1">
      <c r="A108" s="427" t="s">
        <v>494</v>
      </c>
      <c r="B108" s="422"/>
      <c r="C108" s="422"/>
      <c r="D108" s="422"/>
      <c r="E108" s="422"/>
      <c r="F108" s="422"/>
      <c r="G108" s="422"/>
      <c r="H108" s="422"/>
      <c r="I108" s="422"/>
      <c r="J108" s="422"/>
      <c r="K108" s="422"/>
      <c r="L108" s="422"/>
    </row>
    <row r="109" spans="1:12" ht="11.25" customHeight="1">
      <c r="A109" s="421" t="s">
        <v>495</v>
      </c>
      <c r="B109" s="422"/>
      <c r="C109" s="422"/>
      <c r="D109" s="422"/>
      <c r="E109" s="422"/>
      <c r="F109" s="422"/>
      <c r="G109" s="422"/>
      <c r="H109" s="422"/>
      <c r="I109" s="422"/>
      <c r="J109" s="422"/>
      <c r="K109" s="422"/>
      <c r="L109" s="422"/>
    </row>
    <row r="110" spans="1:12" ht="11.25" customHeight="1">
      <c r="A110" s="421" t="s">
        <v>496</v>
      </c>
      <c r="B110" s="422"/>
      <c r="C110" s="422"/>
      <c r="D110" s="422"/>
      <c r="E110" s="422"/>
      <c r="F110" s="422"/>
      <c r="G110" s="422"/>
      <c r="H110" s="422"/>
      <c r="I110" s="422"/>
      <c r="J110" s="422"/>
      <c r="K110" s="422"/>
      <c r="L110" s="422"/>
    </row>
    <row r="111" spans="1:12" ht="11.25" customHeight="1">
      <c r="A111" s="425" t="s">
        <v>497</v>
      </c>
      <c r="B111" s="425"/>
      <c r="C111" s="425"/>
      <c r="D111" s="425"/>
      <c r="E111" s="425"/>
      <c r="F111" s="425"/>
      <c r="G111" s="425"/>
      <c r="H111" s="425"/>
      <c r="I111" s="425"/>
      <c r="J111" s="425"/>
      <c r="K111" s="425"/>
      <c r="L111" s="425"/>
    </row>
    <row r="112" spans="1:12" ht="11.25" customHeight="1">
      <c r="A112" s="425" t="s">
        <v>498</v>
      </c>
      <c r="B112" s="425"/>
      <c r="C112" s="425"/>
      <c r="D112" s="425"/>
      <c r="E112" s="425"/>
      <c r="F112" s="425"/>
      <c r="G112" s="425"/>
      <c r="H112" s="425"/>
      <c r="I112" s="425"/>
      <c r="J112" s="425"/>
      <c r="K112" s="425"/>
      <c r="L112" s="425"/>
    </row>
    <row r="113" spans="1:12" ht="11.25" customHeight="1">
      <c r="A113" s="425" t="s">
        <v>499</v>
      </c>
      <c r="B113" s="425"/>
      <c r="C113" s="425"/>
      <c r="D113" s="425"/>
      <c r="E113" s="425"/>
      <c r="F113" s="425"/>
      <c r="G113" s="425"/>
      <c r="H113" s="425"/>
      <c r="I113" s="425"/>
      <c r="J113" s="425"/>
      <c r="K113" s="425"/>
      <c r="L113" s="425"/>
    </row>
    <row r="114" spans="1:12">
      <c r="A114" s="256"/>
      <c r="B114" s="256"/>
      <c r="C114" s="256"/>
      <c r="D114" s="256"/>
      <c r="E114" s="256"/>
      <c r="F114" s="256"/>
      <c r="G114" s="256"/>
      <c r="H114" s="256"/>
      <c r="I114" s="256"/>
      <c r="J114" s="256"/>
      <c r="K114" s="256"/>
      <c r="L114" s="256"/>
    </row>
  </sheetData>
  <mergeCells count="27">
    <mergeCell ref="A111:L111"/>
    <mergeCell ref="A112:L112"/>
    <mergeCell ref="A113:L113"/>
    <mergeCell ref="A105:L105"/>
    <mergeCell ref="A106:L106"/>
    <mergeCell ref="A107:L107"/>
    <mergeCell ref="A108:L108"/>
    <mergeCell ref="A109:L109"/>
    <mergeCell ref="A110:L110"/>
    <mergeCell ref="A104:L104"/>
    <mergeCell ref="A61:L61"/>
    <mergeCell ref="A62:L62"/>
    <mergeCell ref="A63:L63"/>
    <mergeCell ref="A64:L64"/>
    <mergeCell ref="A65:L65"/>
    <mergeCell ref="A66:L66"/>
    <mergeCell ref="A67:L67"/>
    <mergeCell ref="A100:L100"/>
    <mergeCell ref="A101:L101"/>
    <mergeCell ref="A102:L102"/>
    <mergeCell ref="A103:L103"/>
    <mergeCell ref="A60:L60"/>
    <mergeCell ref="A1:L1"/>
    <mergeCell ref="A2:L2"/>
    <mergeCell ref="A3:L3"/>
    <mergeCell ref="A4:L4"/>
    <mergeCell ref="A5:L5"/>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04A2-0679-8641-9515-410406E13743}">
  <dimension ref="A1:M115"/>
  <sheetViews>
    <sheetView zoomScale="93" zoomScaleNormal="100" workbookViewId="0">
      <selection activeCell="A6" sqref="A6:L89"/>
    </sheetView>
  </sheetViews>
  <sheetFormatPr baseColWidth="10" defaultColWidth="8" defaultRowHeight="12"/>
  <cols>
    <col min="1" max="1" width="22.83203125" style="273" customWidth="1"/>
    <col min="2" max="2" width="1.1640625" style="280" customWidth="1"/>
    <col min="3" max="3" width="6.83203125" style="295" customWidth="1"/>
    <col min="4" max="4" width="1.5" style="282" customWidth="1"/>
    <col min="5" max="5" width="6.83203125" style="295" customWidth="1"/>
    <col min="6" max="6" width="1.5" style="282" customWidth="1"/>
    <col min="7" max="7" width="6.83203125" style="295" customWidth="1"/>
    <col min="8" max="8" width="1.5" style="282" customWidth="1"/>
    <col min="9" max="9" width="6.83203125" style="295" customWidth="1"/>
    <col min="10" max="10" width="1.5" style="282" customWidth="1"/>
    <col min="11" max="11" width="6.83203125" style="295" customWidth="1"/>
    <col min="12" max="12" width="1.5" style="282" customWidth="1"/>
    <col min="13" max="16384" width="8" style="273"/>
  </cols>
  <sheetData>
    <row r="1" spans="1:13" ht="11.25" customHeight="1">
      <c r="A1" s="430" t="s">
        <v>190</v>
      </c>
      <c r="B1" s="430"/>
      <c r="C1" s="430"/>
      <c r="D1" s="430"/>
      <c r="E1" s="430"/>
      <c r="F1" s="430"/>
      <c r="G1" s="430"/>
      <c r="H1" s="430"/>
      <c r="I1" s="430"/>
      <c r="J1" s="430"/>
      <c r="K1" s="430"/>
      <c r="L1" s="430"/>
    </row>
    <row r="2" spans="1:13" ht="11.25" customHeight="1">
      <c r="A2" s="430" t="s">
        <v>529</v>
      </c>
      <c r="B2" s="430"/>
      <c r="C2" s="430"/>
      <c r="D2" s="430"/>
      <c r="E2" s="430"/>
      <c r="F2" s="430"/>
      <c r="G2" s="430"/>
      <c r="H2" s="430"/>
      <c r="I2" s="430"/>
      <c r="J2" s="430"/>
      <c r="K2" s="430"/>
      <c r="L2" s="430"/>
    </row>
    <row r="3" spans="1:13" ht="11.25" customHeight="1">
      <c r="A3" s="431"/>
      <c r="B3" s="431"/>
      <c r="C3" s="431"/>
      <c r="D3" s="431"/>
      <c r="E3" s="431"/>
      <c r="F3" s="431"/>
      <c r="G3" s="431"/>
      <c r="H3" s="431"/>
      <c r="I3" s="431"/>
      <c r="J3" s="431"/>
      <c r="K3" s="431"/>
      <c r="L3" s="431"/>
    </row>
    <row r="4" spans="1:13" ht="11.25" customHeight="1">
      <c r="A4" s="430" t="s">
        <v>530</v>
      </c>
      <c r="B4" s="430"/>
      <c r="C4" s="430"/>
      <c r="D4" s="430"/>
      <c r="E4" s="430"/>
      <c r="F4" s="430"/>
      <c r="G4" s="430"/>
      <c r="H4" s="430"/>
      <c r="I4" s="430"/>
      <c r="J4" s="430"/>
      <c r="K4" s="430"/>
      <c r="L4" s="430"/>
    </row>
    <row r="5" spans="1:13" ht="11.25" customHeight="1">
      <c r="A5" s="432"/>
      <c r="B5" s="432"/>
      <c r="C5" s="432"/>
      <c r="D5" s="432"/>
      <c r="E5" s="432"/>
      <c r="F5" s="432"/>
      <c r="G5" s="432"/>
      <c r="H5" s="432"/>
      <c r="I5" s="432"/>
      <c r="J5" s="432"/>
      <c r="K5" s="432"/>
      <c r="L5" s="432"/>
    </row>
    <row r="6" spans="1:13" ht="11.25" customHeight="1">
      <c r="A6" s="275" t="s">
        <v>192</v>
      </c>
      <c r="B6" s="276"/>
      <c r="C6" s="277">
        <v>2013</v>
      </c>
      <c r="D6" s="276"/>
      <c r="E6" s="277">
        <v>2014</v>
      </c>
      <c r="F6" s="276"/>
      <c r="G6" s="277">
        <v>2015</v>
      </c>
      <c r="H6" s="276"/>
      <c r="I6" s="277">
        <v>2016</v>
      </c>
      <c r="J6" s="276"/>
      <c r="K6" s="277">
        <v>2017</v>
      </c>
      <c r="L6" s="276"/>
      <c r="M6" s="278"/>
    </row>
    <row r="7" spans="1:13" ht="11.25" customHeight="1">
      <c r="A7" s="279" t="s">
        <v>531</v>
      </c>
      <c r="C7" s="281">
        <v>300</v>
      </c>
      <c r="E7" s="281">
        <v>300</v>
      </c>
      <c r="F7" s="282" t="s">
        <v>9</v>
      </c>
      <c r="G7" s="281">
        <v>300</v>
      </c>
      <c r="H7" s="282" t="s">
        <v>9</v>
      </c>
      <c r="I7" s="281">
        <v>300</v>
      </c>
      <c r="J7" s="282" t="s">
        <v>9</v>
      </c>
      <c r="K7" s="281">
        <v>300</v>
      </c>
      <c r="L7" s="282" t="s">
        <v>9</v>
      </c>
    </row>
    <row r="8" spans="1:13" ht="11.25" customHeight="1">
      <c r="A8" s="279" t="s">
        <v>258</v>
      </c>
      <c r="C8" s="281">
        <f>C9+C10</f>
        <v>4190</v>
      </c>
      <c r="D8" s="281"/>
      <c r="E8" s="281">
        <f t="shared" ref="E8:K8" si="0">E9+E10</f>
        <v>4436</v>
      </c>
      <c r="F8" s="281"/>
      <c r="G8" s="281">
        <f t="shared" si="0"/>
        <v>3945</v>
      </c>
      <c r="H8" s="281"/>
      <c r="I8" s="281">
        <f t="shared" si="0"/>
        <v>2921</v>
      </c>
      <c r="J8" s="281"/>
      <c r="K8" s="281">
        <f t="shared" si="0"/>
        <v>2980</v>
      </c>
    </row>
    <row r="9" spans="1:13" ht="11.25" customHeight="1">
      <c r="A9" s="283" t="s">
        <v>260</v>
      </c>
      <c r="C9" s="281">
        <v>1540</v>
      </c>
      <c r="E9" s="281">
        <v>1670</v>
      </c>
      <c r="G9" s="281">
        <v>1260</v>
      </c>
      <c r="I9" s="281">
        <v>780</v>
      </c>
      <c r="K9" s="281">
        <v>780</v>
      </c>
      <c r="L9" s="282" t="s">
        <v>9</v>
      </c>
    </row>
    <row r="10" spans="1:13" ht="11.25" customHeight="1">
      <c r="A10" s="283" t="s">
        <v>298</v>
      </c>
      <c r="C10" s="281">
        <v>2650</v>
      </c>
      <c r="E10" s="281">
        <v>2766</v>
      </c>
      <c r="G10" s="281">
        <v>2685</v>
      </c>
      <c r="I10" s="281">
        <v>2141</v>
      </c>
      <c r="K10" s="281">
        <v>2200</v>
      </c>
    </row>
    <row r="11" spans="1:13" ht="11.25" customHeight="1">
      <c r="A11" s="279" t="s">
        <v>532</v>
      </c>
      <c r="C11" s="281">
        <v>3342</v>
      </c>
      <c r="E11" s="281">
        <v>3282</v>
      </c>
      <c r="G11" s="281">
        <v>3594</v>
      </c>
      <c r="I11" s="281">
        <v>3738</v>
      </c>
      <c r="K11" s="281">
        <v>3800</v>
      </c>
    </row>
    <row r="12" spans="1:13" ht="11.25" customHeight="1">
      <c r="A12" s="279" t="s">
        <v>533</v>
      </c>
      <c r="C12" s="281">
        <v>6152</v>
      </c>
      <c r="E12" s="281">
        <v>6029</v>
      </c>
      <c r="G12" s="281">
        <v>5805</v>
      </c>
      <c r="I12" s="281">
        <v>5642</v>
      </c>
      <c r="K12" s="281">
        <v>6300</v>
      </c>
    </row>
    <row r="13" spans="1:13" ht="11.25" customHeight="1">
      <c r="A13" s="279" t="s">
        <v>534</v>
      </c>
      <c r="C13" s="281">
        <v>780</v>
      </c>
      <c r="E13" s="281">
        <v>1440</v>
      </c>
      <c r="G13" s="281">
        <v>1230</v>
      </c>
      <c r="I13" s="281">
        <v>1260</v>
      </c>
      <c r="K13" s="281">
        <v>1260</v>
      </c>
    </row>
    <row r="14" spans="1:13" ht="11.25" customHeight="1">
      <c r="A14" s="279" t="s">
        <v>535</v>
      </c>
      <c r="C14" s="281">
        <v>4343</v>
      </c>
      <c r="E14" s="281">
        <v>4388</v>
      </c>
      <c r="G14" s="281">
        <v>4248</v>
      </c>
      <c r="I14" s="281">
        <v>4869</v>
      </c>
      <c r="K14" s="281">
        <v>4900</v>
      </c>
    </row>
    <row r="15" spans="1:13" ht="11.25" customHeight="1">
      <c r="A15" s="279" t="s">
        <v>536</v>
      </c>
      <c r="C15" s="281">
        <v>759</v>
      </c>
      <c r="E15" s="281">
        <v>860</v>
      </c>
      <c r="G15" s="281">
        <v>845</v>
      </c>
      <c r="I15" s="281">
        <v>778</v>
      </c>
      <c r="K15" s="281">
        <v>778</v>
      </c>
      <c r="L15" s="282" t="s">
        <v>9</v>
      </c>
    </row>
    <row r="16" spans="1:13" ht="11.25" customHeight="1">
      <c r="A16" s="279" t="s">
        <v>537</v>
      </c>
      <c r="C16" s="281">
        <v>26200</v>
      </c>
      <c r="E16" s="281">
        <v>27016</v>
      </c>
      <c r="G16" s="281">
        <v>27803</v>
      </c>
      <c r="I16" s="281">
        <v>26031</v>
      </c>
      <c r="K16" s="281">
        <v>28400</v>
      </c>
    </row>
    <row r="17" spans="1:12" ht="11.25" customHeight="1">
      <c r="A17" s="279" t="s">
        <v>197</v>
      </c>
      <c r="C17" s="281">
        <f>C18+C19</f>
        <v>7350</v>
      </c>
      <c r="D17" s="281"/>
      <c r="E17" s="281">
        <f t="shared" ref="E17:K17" si="1">E18+E19</f>
        <v>8278</v>
      </c>
      <c r="F17" s="281"/>
      <c r="G17" s="281">
        <f t="shared" si="1"/>
        <v>7353</v>
      </c>
      <c r="H17" s="281"/>
      <c r="I17" s="281">
        <f t="shared" si="1"/>
        <v>7640</v>
      </c>
      <c r="J17" s="281"/>
      <c r="K17" s="281">
        <f t="shared" si="1"/>
        <v>7906</v>
      </c>
    </row>
    <row r="18" spans="1:12" ht="11.25" customHeight="1">
      <c r="A18" s="283" t="s">
        <v>260</v>
      </c>
      <c r="C18" s="281">
        <v>1250</v>
      </c>
      <c r="E18" s="281">
        <v>1550</v>
      </c>
      <c r="G18" s="281">
        <v>1502</v>
      </c>
      <c r="I18" s="281">
        <v>1400</v>
      </c>
      <c r="K18" s="281">
        <v>1600</v>
      </c>
    </row>
    <row r="19" spans="1:12" ht="11.25" customHeight="1">
      <c r="A19" s="283" t="s">
        <v>298</v>
      </c>
      <c r="C19" s="281">
        <v>6100</v>
      </c>
      <c r="E19" s="281">
        <v>6728</v>
      </c>
      <c r="G19" s="281">
        <v>5851</v>
      </c>
      <c r="I19" s="281">
        <v>6240</v>
      </c>
      <c r="K19" s="281">
        <v>6306</v>
      </c>
    </row>
    <row r="20" spans="1:12" ht="11.25" customHeight="1">
      <c r="A20" s="279" t="s">
        <v>538</v>
      </c>
      <c r="C20" s="281">
        <v>766</v>
      </c>
      <c r="E20" s="281">
        <v>584</v>
      </c>
      <c r="G20" s="281">
        <v>644</v>
      </c>
      <c r="I20" s="281">
        <v>678</v>
      </c>
      <c r="K20" s="281">
        <v>700</v>
      </c>
    </row>
    <row r="21" spans="1:12" ht="12.5" customHeight="1">
      <c r="A21" s="279" t="s">
        <v>539</v>
      </c>
      <c r="C21" s="281">
        <v>708970</v>
      </c>
      <c r="E21" s="281">
        <v>713740</v>
      </c>
      <c r="G21" s="281">
        <v>691410</v>
      </c>
      <c r="I21" s="281">
        <v>700740</v>
      </c>
      <c r="K21" s="281">
        <v>710800</v>
      </c>
    </row>
    <row r="22" spans="1:12" ht="11.25" customHeight="1">
      <c r="A22" s="279" t="s">
        <v>540</v>
      </c>
      <c r="C22" s="281">
        <v>307</v>
      </c>
      <c r="E22" s="281">
        <v>234</v>
      </c>
      <c r="G22" s="281">
        <v>240</v>
      </c>
      <c r="I22" s="281">
        <v>225</v>
      </c>
      <c r="K22" s="281">
        <v>225</v>
      </c>
      <c r="L22" s="282" t="s">
        <v>9</v>
      </c>
    </row>
    <row r="23" spans="1:12" ht="11.25" customHeight="1">
      <c r="A23" s="279" t="s">
        <v>541</v>
      </c>
      <c r="C23" s="281">
        <v>4040</v>
      </c>
      <c r="E23" s="281">
        <v>4152</v>
      </c>
      <c r="G23" s="281">
        <v>4031</v>
      </c>
      <c r="I23" s="281">
        <v>4164</v>
      </c>
      <c r="K23" s="281">
        <v>3700</v>
      </c>
    </row>
    <row r="24" spans="1:12" ht="11.25" customHeight="1">
      <c r="A24" s="279" t="s">
        <v>198</v>
      </c>
      <c r="C24" s="281">
        <f>C25+C26</f>
        <v>3980</v>
      </c>
      <c r="D24" s="281"/>
      <c r="E24" s="281">
        <f t="shared" ref="E24:K24" si="2">E25+E26</f>
        <v>3430</v>
      </c>
      <c r="F24" s="281"/>
      <c r="G24" s="281">
        <f t="shared" si="2"/>
        <v>3230</v>
      </c>
      <c r="H24" s="281"/>
      <c r="I24" s="281">
        <f t="shared" si="2"/>
        <v>3320</v>
      </c>
      <c r="J24" s="281"/>
      <c r="K24" s="281">
        <f t="shared" si="2"/>
        <v>3320</v>
      </c>
    </row>
    <row r="25" spans="1:12" ht="11.25" customHeight="1">
      <c r="A25" s="283" t="s">
        <v>260</v>
      </c>
      <c r="C25" s="281">
        <v>3430</v>
      </c>
      <c r="E25" s="281">
        <v>2880</v>
      </c>
      <c r="G25" s="281">
        <v>2730</v>
      </c>
      <c r="I25" s="281">
        <v>2820</v>
      </c>
      <c r="K25" s="281">
        <v>2820</v>
      </c>
      <c r="L25" s="282" t="s">
        <v>9</v>
      </c>
    </row>
    <row r="26" spans="1:12" ht="11.25" customHeight="1">
      <c r="A26" s="283" t="s">
        <v>298</v>
      </c>
      <c r="C26" s="281">
        <v>550</v>
      </c>
      <c r="E26" s="281">
        <v>550</v>
      </c>
      <c r="G26" s="281">
        <v>500</v>
      </c>
      <c r="I26" s="281">
        <v>500</v>
      </c>
      <c r="J26" s="282" t="s">
        <v>9</v>
      </c>
      <c r="K26" s="281">
        <v>500</v>
      </c>
      <c r="L26" s="282" t="s">
        <v>9</v>
      </c>
    </row>
    <row r="27" spans="1:12" ht="11.25" customHeight="1">
      <c r="A27" s="279" t="s">
        <v>542</v>
      </c>
      <c r="C27" s="281">
        <v>2050</v>
      </c>
      <c r="E27" s="281">
        <v>2475</v>
      </c>
      <c r="G27" s="281">
        <v>2594</v>
      </c>
      <c r="I27" s="281">
        <v>2670</v>
      </c>
      <c r="J27" s="282" t="s">
        <v>9</v>
      </c>
      <c r="K27" s="281">
        <v>2600</v>
      </c>
    </row>
    <row r="28" spans="1:12" ht="11.25" customHeight="1">
      <c r="A28" s="279" t="s">
        <v>543</v>
      </c>
      <c r="C28" s="281">
        <v>10276</v>
      </c>
      <c r="E28" s="281">
        <v>10866</v>
      </c>
      <c r="G28" s="281">
        <v>10095</v>
      </c>
      <c r="I28" s="281">
        <v>9724</v>
      </c>
      <c r="K28" s="281">
        <v>10700</v>
      </c>
    </row>
    <row r="29" spans="1:12" ht="11.25" customHeight="1">
      <c r="A29" s="279" t="s">
        <v>199</v>
      </c>
      <c r="C29" s="281">
        <f>C30+C31</f>
        <v>27178</v>
      </c>
      <c r="D29" s="281"/>
      <c r="E29" s="281">
        <f t="shared" ref="E29:K29" si="3">E30+E31</f>
        <v>27949</v>
      </c>
      <c r="F29" s="281"/>
      <c r="G29" s="281">
        <f t="shared" si="3"/>
        <v>28392</v>
      </c>
      <c r="H29" s="281"/>
      <c r="I29" s="281">
        <f t="shared" si="3"/>
        <v>27864</v>
      </c>
      <c r="J29" s="281"/>
      <c r="K29" s="281">
        <f t="shared" si="3"/>
        <v>29000</v>
      </c>
    </row>
    <row r="30" spans="1:12" ht="11.25" customHeight="1">
      <c r="A30" s="283" t="s">
        <v>260</v>
      </c>
      <c r="C30" s="281">
        <v>500</v>
      </c>
      <c r="E30" s="281">
        <v>570</v>
      </c>
      <c r="G30" s="281">
        <v>550</v>
      </c>
      <c r="I30" s="281">
        <v>600</v>
      </c>
      <c r="K30" s="281">
        <v>600</v>
      </c>
      <c r="L30" s="282" t="s">
        <v>9</v>
      </c>
    </row>
    <row r="31" spans="1:12" ht="11.25" customHeight="1">
      <c r="A31" s="283" t="s">
        <v>298</v>
      </c>
      <c r="C31" s="281">
        <v>26678</v>
      </c>
      <c r="E31" s="281">
        <v>27379</v>
      </c>
      <c r="G31" s="281">
        <v>27842</v>
      </c>
      <c r="I31" s="281">
        <v>27264</v>
      </c>
      <c r="K31" s="281">
        <v>28400</v>
      </c>
    </row>
    <row r="32" spans="1:12" ht="11.25" customHeight="1">
      <c r="A32" s="279" t="s">
        <v>544</v>
      </c>
      <c r="C32" s="281">
        <v>628</v>
      </c>
      <c r="E32" s="281">
        <v>801</v>
      </c>
      <c r="G32" s="281">
        <v>1247</v>
      </c>
      <c r="I32" s="281">
        <v>863</v>
      </c>
      <c r="K32" s="281">
        <v>1311</v>
      </c>
    </row>
    <row r="33" spans="1:12" ht="11.25" customHeight="1">
      <c r="A33" s="279" t="s">
        <v>200</v>
      </c>
      <c r="C33" s="281">
        <f>C34+C35</f>
        <v>68252</v>
      </c>
      <c r="D33" s="281"/>
      <c r="E33" s="281">
        <f t="shared" ref="E33:K33" si="4">E34+E35</f>
        <v>75532</v>
      </c>
      <c r="F33" s="281"/>
      <c r="G33" s="281">
        <f t="shared" si="4"/>
        <v>74621</v>
      </c>
      <c r="H33" s="281"/>
      <c r="I33" s="281">
        <f t="shared" si="4"/>
        <v>81464</v>
      </c>
      <c r="J33" s="281"/>
      <c r="K33" s="281">
        <f t="shared" si="4"/>
        <v>84500</v>
      </c>
    </row>
    <row r="34" spans="1:12" ht="11.25" customHeight="1">
      <c r="A34" s="283" t="s">
        <v>260</v>
      </c>
      <c r="C34" s="281">
        <v>16893</v>
      </c>
      <c r="E34" s="281">
        <v>20366</v>
      </c>
      <c r="G34" s="281">
        <v>16228</v>
      </c>
      <c r="I34" s="281">
        <v>18470</v>
      </c>
      <c r="K34" s="281">
        <v>18500</v>
      </c>
      <c r="L34" s="282" t="s">
        <v>9</v>
      </c>
    </row>
    <row r="35" spans="1:12" ht="11.25" customHeight="1">
      <c r="A35" s="283" t="s">
        <v>298</v>
      </c>
      <c r="C35" s="281">
        <v>51359</v>
      </c>
      <c r="E35" s="281">
        <v>55166</v>
      </c>
      <c r="G35" s="281">
        <v>58393</v>
      </c>
      <c r="I35" s="281">
        <v>62994</v>
      </c>
      <c r="K35" s="281">
        <v>66000</v>
      </c>
    </row>
    <row r="36" spans="1:12" ht="11.25" customHeight="1">
      <c r="A36" s="279" t="s">
        <v>545</v>
      </c>
      <c r="C36" s="281">
        <v>760</v>
      </c>
      <c r="D36" s="282" t="s">
        <v>9</v>
      </c>
      <c r="E36" s="281">
        <v>120</v>
      </c>
      <c r="F36" s="282" t="s">
        <v>9</v>
      </c>
      <c r="G36" s="284" t="s">
        <v>12</v>
      </c>
      <c r="H36" s="282" t="s">
        <v>9</v>
      </c>
      <c r="I36" s="284" t="s">
        <v>12</v>
      </c>
      <c r="K36" s="284" t="s">
        <v>12</v>
      </c>
      <c r="L36" s="282" t="s">
        <v>9</v>
      </c>
    </row>
    <row r="37" spans="1:12" ht="11.25" customHeight="1">
      <c r="A37" s="279" t="s">
        <v>202</v>
      </c>
      <c r="C37" s="281">
        <f>C38+C39</f>
        <v>16465</v>
      </c>
      <c r="D37" s="281"/>
      <c r="E37" s="281">
        <f t="shared" ref="E37:K37" si="5">E38+E39</f>
        <v>17333</v>
      </c>
      <c r="F37" s="281"/>
      <c r="G37" s="281">
        <f t="shared" si="5"/>
        <v>17005</v>
      </c>
      <c r="H37" s="281"/>
      <c r="I37" s="281">
        <f t="shared" si="5"/>
        <v>18261</v>
      </c>
      <c r="J37" s="281"/>
      <c r="K37" s="281">
        <f t="shared" si="5"/>
        <v>18300</v>
      </c>
    </row>
    <row r="38" spans="1:12" ht="11.25" customHeight="1">
      <c r="A38" s="283" t="s">
        <v>260</v>
      </c>
      <c r="C38" s="281">
        <v>14458</v>
      </c>
      <c r="D38" s="282" t="s">
        <v>8</v>
      </c>
      <c r="E38" s="281">
        <v>14551</v>
      </c>
      <c r="F38" s="282" t="s">
        <v>8</v>
      </c>
      <c r="G38" s="281">
        <v>14546</v>
      </c>
      <c r="H38" s="282" t="s">
        <v>8</v>
      </c>
      <c r="I38" s="281">
        <v>16010</v>
      </c>
      <c r="K38" s="281">
        <v>16000</v>
      </c>
      <c r="L38" s="282" t="s">
        <v>9</v>
      </c>
    </row>
    <row r="39" spans="1:12" ht="11.25" customHeight="1">
      <c r="A39" s="283" t="s">
        <v>298</v>
      </c>
      <c r="C39" s="281">
        <v>2007</v>
      </c>
      <c r="E39" s="281">
        <v>2782</v>
      </c>
      <c r="G39" s="281">
        <v>2459</v>
      </c>
      <c r="I39" s="281">
        <v>2251</v>
      </c>
      <c r="K39" s="281">
        <v>2300</v>
      </c>
    </row>
    <row r="40" spans="1:12" ht="11.25" customHeight="1">
      <c r="A40" s="279" t="s">
        <v>546</v>
      </c>
      <c r="C40" s="281">
        <v>6933</v>
      </c>
      <c r="E40" s="281">
        <v>6371</v>
      </c>
      <c r="G40" s="281">
        <v>5051</v>
      </c>
      <c r="I40" s="281">
        <v>6048</v>
      </c>
      <c r="K40" s="281">
        <v>5100</v>
      </c>
    </row>
    <row r="41" spans="1:12" ht="11.25" customHeight="1">
      <c r="A41" s="279" t="s">
        <v>547</v>
      </c>
      <c r="C41" s="281">
        <v>83849</v>
      </c>
      <c r="E41" s="281">
        <v>83872</v>
      </c>
      <c r="G41" s="281">
        <v>81011</v>
      </c>
      <c r="I41" s="281">
        <v>80170</v>
      </c>
      <c r="K41" s="281">
        <v>78300</v>
      </c>
    </row>
    <row r="42" spans="1:12" ht="11.25" customHeight="1">
      <c r="A42" s="279" t="s">
        <v>548</v>
      </c>
      <c r="C42" s="281">
        <v>2634</v>
      </c>
      <c r="E42" s="281">
        <v>3185</v>
      </c>
      <c r="G42" s="281">
        <v>3234</v>
      </c>
      <c r="I42" s="281">
        <v>3302</v>
      </c>
      <c r="K42" s="281">
        <v>4200</v>
      </c>
    </row>
    <row r="43" spans="1:12" ht="12.5" customHeight="1">
      <c r="A43" s="279" t="s">
        <v>549</v>
      </c>
      <c r="C43" s="281">
        <v>250</v>
      </c>
      <c r="E43" s="281">
        <v>250</v>
      </c>
      <c r="G43" s="281">
        <v>250</v>
      </c>
      <c r="I43" s="281">
        <v>250</v>
      </c>
      <c r="K43" s="281">
        <v>250</v>
      </c>
    </row>
    <row r="44" spans="1:12" ht="11.25" customHeight="1">
      <c r="A44" s="279" t="s">
        <v>550</v>
      </c>
      <c r="C44" s="281">
        <v>41045</v>
      </c>
      <c r="E44" s="281">
        <v>46909</v>
      </c>
      <c r="G44" s="281">
        <v>47639</v>
      </c>
      <c r="I44" s="281">
        <v>46327</v>
      </c>
      <c r="K44" s="281">
        <v>46700</v>
      </c>
    </row>
    <row r="45" spans="1:12" ht="11.25" customHeight="1">
      <c r="A45" s="279" t="s">
        <v>473</v>
      </c>
      <c r="C45" s="281">
        <v>950</v>
      </c>
      <c r="E45" s="281">
        <v>1000</v>
      </c>
      <c r="G45" s="281">
        <v>450</v>
      </c>
      <c r="I45" s="281">
        <v>690</v>
      </c>
      <c r="K45" s="281">
        <v>560</v>
      </c>
    </row>
    <row r="46" spans="1:12" ht="11.25" customHeight="1">
      <c r="A46" s="279" t="s">
        <v>387</v>
      </c>
      <c r="C46" s="281">
        <v>1400</v>
      </c>
      <c r="E46" s="281">
        <v>1330</v>
      </c>
      <c r="G46" s="281">
        <v>960</v>
      </c>
      <c r="I46" s="281">
        <v>660</v>
      </c>
      <c r="K46" s="281">
        <v>660</v>
      </c>
      <c r="L46" s="282" t="s">
        <v>9</v>
      </c>
    </row>
    <row r="47" spans="1:12" ht="11.25" customHeight="1">
      <c r="A47" s="279" t="s">
        <v>205</v>
      </c>
      <c r="C47" s="281">
        <f>C48+C49</f>
        <v>11010</v>
      </c>
      <c r="D47" s="281"/>
      <c r="E47" s="281">
        <f t="shared" ref="E47:K47" si="6">E48+E49</f>
        <v>11092</v>
      </c>
      <c r="F47" s="281"/>
      <c r="G47" s="281">
        <f t="shared" si="6"/>
        <v>10080</v>
      </c>
      <c r="H47" s="281"/>
      <c r="I47" s="281">
        <f t="shared" si="6"/>
        <v>9784</v>
      </c>
      <c r="J47" s="281"/>
      <c r="K47" s="281">
        <f t="shared" si="6"/>
        <v>10200</v>
      </c>
    </row>
    <row r="48" spans="1:12" ht="11.25" customHeight="1">
      <c r="A48" s="283" t="s">
        <v>260</v>
      </c>
      <c r="C48" s="281">
        <v>6100</v>
      </c>
      <c r="E48" s="281">
        <v>5976</v>
      </c>
      <c r="F48" s="282" t="s">
        <v>8</v>
      </c>
      <c r="G48" s="281">
        <v>5500</v>
      </c>
      <c r="I48" s="281">
        <v>5310</v>
      </c>
      <c r="K48" s="281">
        <v>6000</v>
      </c>
    </row>
    <row r="49" spans="1:12" ht="11.25" customHeight="1">
      <c r="A49" s="283" t="s">
        <v>298</v>
      </c>
      <c r="C49" s="281">
        <v>4910</v>
      </c>
      <c r="D49" s="282" t="s">
        <v>79</v>
      </c>
      <c r="E49" s="281">
        <v>5116</v>
      </c>
      <c r="G49" s="281">
        <v>4580</v>
      </c>
      <c r="H49" s="282" t="s">
        <v>79</v>
      </c>
      <c r="I49" s="281">
        <v>4474</v>
      </c>
      <c r="K49" s="281">
        <v>4200</v>
      </c>
    </row>
    <row r="50" spans="1:12" ht="12.5" customHeight="1">
      <c r="A50" s="279" t="s">
        <v>551</v>
      </c>
      <c r="C50" s="281">
        <v>5681</v>
      </c>
      <c r="E50" s="281">
        <v>5868</v>
      </c>
      <c r="G50" s="281">
        <v>6050</v>
      </c>
      <c r="I50" s="281">
        <v>6091</v>
      </c>
      <c r="K50" s="281">
        <v>6100</v>
      </c>
    </row>
    <row r="51" spans="1:12" ht="11.25" customHeight="1">
      <c r="A51" s="279" t="s">
        <v>552</v>
      </c>
      <c r="C51" s="281">
        <v>682</v>
      </c>
      <c r="E51" s="281">
        <v>680</v>
      </c>
      <c r="G51" s="281">
        <v>678</v>
      </c>
      <c r="I51" s="281">
        <v>670</v>
      </c>
      <c r="K51" s="281">
        <v>700</v>
      </c>
    </row>
    <row r="52" spans="1:12" ht="11.25" customHeight="1">
      <c r="A52" s="279" t="s">
        <v>553</v>
      </c>
      <c r="C52" s="281">
        <v>106</v>
      </c>
      <c r="E52" s="281">
        <v>102</v>
      </c>
      <c r="G52" s="281">
        <v>100</v>
      </c>
      <c r="I52" s="281">
        <v>100</v>
      </c>
      <c r="K52" s="281">
        <v>100</v>
      </c>
      <c r="L52" s="282" t="s">
        <v>9</v>
      </c>
    </row>
    <row r="53" spans="1:12" ht="11.25" customHeight="1">
      <c r="A53" s="279" t="s">
        <v>478</v>
      </c>
      <c r="C53" s="281">
        <v>1470</v>
      </c>
      <c r="E53" s="281">
        <v>1450</v>
      </c>
      <c r="G53" s="281">
        <v>1480</v>
      </c>
      <c r="I53" s="281">
        <v>1460</v>
      </c>
      <c r="K53" s="281">
        <v>1460</v>
      </c>
      <c r="L53" s="282" t="s">
        <v>9</v>
      </c>
    </row>
    <row r="54" spans="1:12" ht="11.25" customHeight="1">
      <c r="A54" s="279" t="s">
        <v>554</v>
      </c>
      <c r="C54" s="281">
        <v>165</v>
      </c>
      <c r="E54" s="281">
        <v>142</v>
      </c>
      <c r="G54" s="281">
        <v>163</v>
      </c>
      <c r="I54" s="284" t="s">
        <v>12</v>
      </c>
      <c r="K54" s="284" t="s">
        <v>12</v>
      </c>
    </row>
    <row r="55" spans="1:12" ht="11.25" customHeight="1">
      <c r="A55" s="279" t="s">
        <v>555</v>
      </c>
      <c r="C55" s="281">
        <v>69</v>
      </c>
      <c r="E55" s="281">
        <v>71</v>
      </c>
      <c r="G55" s="281">
        <v>73</v>
      </c>
      <c r="I55" s="281">
        <v>50</v>
      </c>
      <c r="K55" s="281">
        <v>38</v>
      </c>
    </row>
    <row r="56" spans="1:12" ht="11.25" customHeight="1">
      <c r="A56" s="279" t="s">
        <v>556</v>
      </c>
      <c r="C56" s="281">
        <v>93</v>
      </c>
      <c r="E56" s="281">
        <v>88</v>
      </c>
      <c r="G56" s="281">
        <v>72</v>
      </c>
      <c r="I56" s="281">
        <v>11</v>
      </c>
      <c r="K56" s="284" t="s">
        <v>12</v>
      </c>
    </row>
    <row r="57" spans="1:12" ht="11.25" customHeight="1">
      <c r="A57" s="279" t="s">
        <v>557</v>
      </c>
      <c r="C57" s="281">
        <v>4011</v>
      </c>
      <c r="E57" s="281">
        <v>4637</v>
      </c>
      <c r="G57" s="281">
        <v>4821</v>
      </c>
      <c r="I57" s="281">
        <v>4673</v>
      </c>
      <c r="K57" s="281">
        <v>5200</v>
      </c>
    </row>
    <row r="58" spans="1:12" ht="11.25" customHeight="1">
      <c r="A58" s="279" t="s">
        <v>558</v>
      </c>
      <c r="C58" s="281">
        <v>2385</v>
      </c>
      <c r="D58" s="282" t="s">
        <v>8</v>
      </c>
      <c r="E58" s="281">
        <v>2547</v>
      </c>
      <c r="F58" s="282" t="s">
        <v>8</v>
      </c>
      <c r="G58" s="281">
        <v>2631</v>
      </c>
      <c r="I58" s="281">
        <v>2506</v>
      </c>
      <c r="K58" s="281">
        <v>2548</v>
      </c>
    </row>
    <row r="59" spans="1:12" ht="11.25" customHeight="1">
      <c r="A59" s="279" t="s">
        <v>559</v>
      </c>
      <c r="C59" s="281">
        <v>1604</v>
      </c>
      <c r="E59" s="281">
        <v>1631</v>
      </c>
      <c r="G59" s="281">
        <v>1790</v>
      </c>
      <c r="I59" s="281">
        <v>1980</v>
      </c>
      <c r="K59" s="281">
        <v>1900</v>
      </c>
    </row>
    <row r="60" spans="1:12" ht="11.25" customHeight="1">
      <c r="A60" s="279" t="s">
        <v>208</v>
      </c>
      <c r="C60" s="281">
        <f>C61+C62</f>
        <v>55275</v>
      </c>
      <c r="D60" s="281"/>
      <c r="E60" s="281">
        <f t="shared" ref="E60:K60" si="7">E61+E62</f>
        <v>56810</v>
      </c>
      <c r="F60" s="281"/>
      <c r="G60" s="281">
        <f t="shared" si="7"/>
        <v>57851</v>
      </c>
      <c r="H60" s="281"/>
      <c r="I60" s="281">
        <f t="shared" si="7"/>
        <v>57529</v>
      </c>
      <c r="J60" s="281"/>
      <c r="K60" s="281">
        <f t="shared" si="7"/>
        <v>58800</v>
      </c>
    </row>
    <row r="61" spans="1:12" ht="11.25" customHeight="1">
      <c r="A61" s="283" t="s">
        <v>260</v>
      </c>
      <c r="C61" s="281">
        <v>5330</v>
      </c>
      <c r="E61" s="281">
        <v>5350</v>
      </c>
      <c r="G61" s="281">
        <v>5440</v>
      </c>
      <c r="I61" s="281">
        <v>5700</v>
      </c>
      <c r="K61" s="281">
        <v>7200</v>
      </c>
      <c r="L61" s="282" t="s">
        <v>9</v>
      </c>
    </row>
    <row r="62" spans="1:12" ht="11.25" customHeight="1">
      <c r="A62" s="283" t="s">
        <v>298</v>
      </c>
      <c r="C62" s="281">
        <v>49945</v>
      </c>
      <c r="E62" s="281">
        <v>51460</v>
      </c>
      <c r="G62" s="281">
        <v>52411</v>
      </c>
      <c r="I62" s="281">
        <v>51829</v>
      </c>
      <c r="K62" s="281">
        <v>51600</v>
      </c>
    </row>
    <row r="63" spans="1:12" ht="11.25" customHeight="1">
      <c r="A63" s="279" t="s">
        <v>285</v>
      </c>
      <c r="C63" s="281">
        <v>6070</v>
      </c>
      <c r="E63" s="281">
        <v>6460</v>
      </c>
      <c r="F63" s="282" t="s">
        <v>9</v>
      </c>
      <c r="G63" s="281">
        <v>5800</v>
      </c>
      <c r="H63" s="282" t="s">
        <v>9</v>
      </c>
      <c r="I63" s="281">
        <v>5890</v>
      </c>
      <c r="K63" s="281">
        <v>5890</v>
      </c>
      <c r="L63" s="282" t="s">
        <v>9</v>
      </c>
    </row>
    <row r="64" spans="1:12" ht="11.25" customHeight="1">
      <c r="A64" s="279" t="s">
        <v>560</v>
      </c>
      <c r="C64" s="281">
        <v>365</v>
      </c>
      <c r="E64" s="281">
        <v>550</v>
      </c>
      <c r="G64" s="281">
        <v>904</v>
      </c>
      <c r="I64" s="281">
        <v>1154</v>
      </c>
      <c r="K64" s="281">
        <v>1150</v>
      </c>
      <c r="L64" s="282" t="s">
        <v>9</v>
      </c>
    </row>
    <row r="65" spans="1:12" ht="11.25" customHeight="1">
      <c r="A65" s="279" t="s">
        <v>561</v>
      </c>
      <c r="B65" s="285"/>
      <c r="C65" s="286">
        <v>3617</v>
      </c>
      <c r="D65" s="287"/>
      <c r="E65" s="286">
        <v>3838</v>
      </c>
      <c r="F65" s="287"/>
      <c r="G65" s="286">
        <v>3738</v>
      </c>
      <c r="H65" s="287"/>
      <c r="I65" s="286">
        <v>3987</v>
      </c>
      <c r="J65" s="287" t="s">
        <v>8</v>
      </c>
      <c r="K65" s="286">
        <v>4100</v>
      </c>
      <c r="L65" s="287"/>
    </row>
    <row r="66" spans="1:12" ht="11.25" customHeight="1">
      <c r="A66" s="433" t="s">
        <v>203</v>
      </c>
      <c r="B66" s="405"/>
      <c r="C66" s="405"/>
      <c r="D66" s="405"/>
      <c r="E66" s="405"/>
      <c r="F66" s="405"/>
      <c r="G66" s="405"/>
      <c r="H66" s="405"/>
      <c r="I66" s="405"/>
      <c r="J66" s="405"/>
      <c r="K66" s="405"/>
      <c r="L66" s="405"/>
    </row>
    <row r="67" spans="1:12" ht="11.25" customHeight="1">
      <c r="A67" s="430" t="s">
        <v>204</v>
      </c>
      <c r="B67" s="430"/>
      <c r="C67" s="430"/>
      <c r="D67" s="430"/>
      <c r="E67" s="430"/>
      <c r="F67" s="430"/>
      <c r="G67" s="430"/>
      <c r="H67" s="430"/>
      <c r="I67" s="430"/>
      <c r="J67" s="430"/>
      <c r="K67" s="430"/>
      <c r="L67" s="430"/>
    </row>
    <row r="68" spans="1:12" ht="11.25" customHeight="1">
      <c r="A68" s="430" t="s">
        <v>529</v>
      </c>
      <c r="B68" s="430"/>
      <c r="C68" s="430"/>
      <c r="D68" s="430"/>
      <c r="E68" s="430"/>
      <c r="F68" s="430"/>
      <c r="G68" s="430"/>
      <c r="H68" s="430"/>
      <c r="I68" s="430"/>
      <c r="J68" s="430"/>
      <c r="K68" s="430"/>
      <c r="L68" s="430"/>
    </row>
    <row r="69" spans="1:12" ht="11.25" customHeight="1">
      <c r="A69" s="431"/>
      <c r="B69" s="431"/>
      <c r="C69" s="431"/>
      <c r="D69" s="431"/>
      <c r="E69" s="431"/>
      <c r="F69" s="431"/>
      <c r="G69" s="431"/>
      <c r="H69" s="431"/>
      <c r="I69" s="431"/>
      <c r="J69" s="431"/>
      <c r="K69" s="431"/>
      <c r="L69" s="431"/>
    </row>
    <row r="70" spans="1:12" ht="11.25" customHeight="1">
      <c r="A70" s="430" t="s">
        <v>530</v>
      </c>
      <c r="B70" s="430"/>
      <c r="C70" s="430"/>
      <c r="D70" s="430"/>
      <c r="E70" s="430"/>
      <c r="F70" s="430"/>
      <c r="G70" s="430"/>
      <c r="H70" s="430"/>
      <c r="I70" s="430"/>
      <c r="J70" s="430"/>
      <c r="K70" s="430"/>
      <c r="L70" s="430"/>
    </row>
    <row r="71" spans="1:12" ht="11.25" customHeight="1">
      <c r="A71" s="432"/>
      <c r="B71" s="432"/>
      <c r="C71" s="432"/>
      <c r="D71" s="432"/>
      <c r="E71" s="432"/>
      <c r="F71" s="432"/>
      <c r="G71" s="432"/>
      <c r="H71" s="432"/>
      <c r="I71" s="432"/>
      <c r="J71" s="432"/>
      <c r="K71" s="432"/>
      <c r="L71" s="432"/>
    </row>
    <row r="72" spans="1:12" ht="11.25" customHeight="1">
      <c r="A72" s="275" t="s">
        <v>192</v>
      </c>
      <c r="B72" s="276"/>
      <c r="C72" s="277">
        <v>2013</v>
      </c>
      <c r="D72" s="276"/>
      <c r="E72" s="277">
        <v>2014</v>
      </c>
      <c r="F72" s="276"/>
      <c r="G72" s="277">
        <v>2015</v>
      </c>
      <c r="H72" s="276"/>
      <c r="I72" s="277">
        <v>2016</v>
      </c>
      <c r="J72" s="276"/>
      <c r="K72" s="277">
        <v>2017</v>
      </c>
      <c r="L72" s="276"/>
    </row>
    <row r="73" spans="1:12" ht="11.25" customHeight="1">
      <c r="A73" s="279" t="s">
        <v>209</v>
      </c>
      <c r="C73" s="281">
        <f>C74+C75</f>
        <v>6224</v>
      </c>
      <c r="D73" s="281"/>
      <c r="E73" s="281">
        <f t="shared" ref="E73:K73" si="8">E74+E75</f>
        <v>6014</v>
      </c>
      <c r="F73" s="281"/>
      <c r="G73" s="281">
        <f t="shared" si="8"/>
        <v>5589</v>
      </c>
      <c r="H73" s="281"/>
      <c r="I73" s="281">
        <f t="shared" si="8"/>
        <v>5010</v>
      </c>
      <c r="J73" s="281"/>
      <c r="K73" s="281">
        <f t="shared" si="8"/>
        <v>5100</v>
      </c>
      <c r="L73" s="281"/>
    </row>
    <row r="74" spans="1:12" ht="11.25" customHeight="1">
      <c r="A74" s="283" t="s">
        <v>260</v>
      </c>
      <c r="C74" s="281">
        <v>1295</v>
      </c>
      <c r="E74" s="281">
        <v>1612</v>
      </c>
      <c r="G74" s="281">
        <v>1125</v>
      </c>
      <c r="I74" s="281">
        <v>700</v>
      </c>
      <c r="K74" s="281">
        <v>700</v>
      </c>
      <c r="L74" s="282" t="s">
        <v>9</v>
      </c>
    </row>
    <row r="75" spans="1:12" ht="11.25" customHeight="1">
      <c r="A75" s="283" t="s">
        <v>298</v>
      </c>
      <c r="C75" s="281">
        <v>4929</v>
      </c>
      <c r="E75" s="281">
        <v>4402</v>
      </c>
      <c r="G75" s="281">
        <v>4464</v>
      </c>
      <c r="I75" s="281">
        <v>4310</v>
      </c>
      <c r="K75" s="281">
        <v>4400</v>
      </c>
    </row>
    <row r="76" spans="1:12" ht="11.25" customHeight="1">
      <c r="A76" s="279" t="s">
        <v>562</v>
      </c>
      <c r="C76" s="281">
        <v>3949</v>
      </c>
      <c r="E76" s="281">
        <v>3958</v>
      </c>
      <c r="G76" s="281">
        <v>4450</v>
      </c>
      <c r="I76" s="281">
        <v>4114</v>
      </c>
      <c r="K76" s="281">
        <v>4500</v>
      </c>
    </row>
    <row r="77" spans="1:12" ht="11.25" customHeight="1">
      <c r="A77" s="279" t="s">
        <v>563</v>
      </c>
      <c r="C77" s="281">
        <v>2896</v>
      </c>
      <c r="E77" s="281">
        <v>3078</v>
      </c>
      <c r="G77" s="281">
        <v>2865</v>
      </c>
      <c r="I77" s="281">
        <v>3078</v>
      </c>
      <c r="K77" s="281">
        <v>3100</v>
      </c>
    </row>
    <row r="78" spans="1:12" ht="11.25" customHeight="1">
      <c r="A78" s="279" t="s">
        <v>564</v>
      </c>
      <c r="C78" s="281">
        <v>13319</v>
      </c>
      <c r="E78" s="281">
        <v>14440</v>
      </c>
      <c r="G78" s="281">
        <v>14370</v>
      </c>
      <c r="I78" s="281">
        <v>14830</v>
      </c>
      <c r="K78" s="281">
        <v>14400</v>
      </c>
    </row>
    <row r="79" spans="1:12" ht="11.25" customHeight="1">
      <c r="A79" s="279" t="s">
        <v>291</v>
      </c>
      <c r="C79" s="281">
        <v>1295</v>
      </c>
      <c r="E79" s="281">
        <v>1612</v>
      </c>
      <c r="G79" s="281">
        <v>1125</v>
      </c>
      <c r="I79" s="281">
        <v>1500</v>
      </c>
      <c r="K79" s="281">
        <v>1500</v>
      </c>
      <c r="L79" s="282" t="s">
        <v>9</v>
      </c>
    </row>
    <row r="80" spans="1:12" ht="11.25" customHeight="1">
      <c r="A80" s="279" t="s">
        <v>565</v>
      </c>
      <c r="C80" s="281">
        <v>9180</v>
      </c>
      <c r="E80" s="281">
        <v>9364</v>
      </c>
      <c r="G80" s="281">
        <v>10184</v>
      </c>
      <c r="I80" s="281">
        <v>10303</v>
      </c>
      <c r="K80" s="281">
        <v>10600</v>
      </c>
    </row>
    <row r="81" spans="1:12" ht="11.25" customHeight="1">
      <c r="A81" s="279" t="s">
        <v>566</v>
      </c>
      <c r="C81" s="281">
        <v>29089</v>
      </c>
      <c r="E81" s="281">
        <v>24801</v>
      </c>
      <c r="G81" s="281">
        <v>21863</v>
      </c>
      <c r="I81" s="281">
        <v>23613</v>
      </c>
      <c r="K81" s="281">
        <v>20100</v>
      </c>
    </row>
    <row r="82" spans="1:12" ht="11.25" customHeight="1">
      <c r="A82" s="279" t="s">
        <v>567</v>
      </c>
      <c r="C82" s="281">
        <v>3075</v>
      </c>
      <c r="E82" s="281">
        <v>2410</v>
      </c>
      <c r="G82" s="281">
        <v>3190</v>
      </c>
      <c r="I82" s="281">
        <v>3480</v>
      </c>
      <c r="K82" s="281">
        <v>3608</v>
      </c>
    </row>
    <row r="83" spans="1:12" ht="11.25" customHeight="1">
      <c r="A83" s="279" t="s">
        <v>568</v>
      </c>
      <c r="C83" s="281">
        <v>9471</v>
      </c>
      <c r="E83" s="281">
        <v>9705</v>
      </c>
      <c r="G83" s="281">
        <v>8774</v>
      </c>
      <c r="I83" s="281">
        <v>6218</v>
      </c>
      <c r="K83" s="281">
        <v>6000</v>
      </c>
    </row>
    <row r="84" spans="1:12" ht="11.25" customHeight="1">
      <c r="A84" s="279" t="s">
        <v>210</v>
      </c>
      <c r="C84" s="281">
        <f>C86</f>
        <v>30300</v>
      </c>
      <c r="D84" s="281"/>
      <c r="E84" s="281">
        <f t="shared" ref="E84:K84" si="9">E85+E86</f>
        <v>30700</v>
      </c>
      <c r="F84" s="281"/>
      <c r="G84" s="281">
        <f t="shared" si="9"/>
        <v>26500</v>
      </c>
      <c r="H84" s="281"/>
      <c r="I84" s="281">
        <f t="shared" si="9"/>
        <v>24110</v>
      </c>
      <c r="J84" s="281"/>
      <c r="K84" s="281">
        <f t="shared" si="9"/>
        <v>25390</v>
      </c>
    </row>
    <row r="85" spans="1:12" ht="11.25" customHeight="1">
      <c r="A85" s="283" t="s">
        <v>260</v>
      </c>
      <c r="C85" s="284" t="s">
        <v>12</v>
      </c>
      <c r="E85" s="281">
        <v>1300</v>
      </c>
      <c r="G85" s="281">
        <v>1100</v>
      </c>
      <c r="I85" s="281">
        <v>1810</v>
      </c>
      <c r="K85" s="281">
        <v>2990</v>
      </c>
    </row>
    <row r="86" spans="1:12" ht="11.25" customHeight="1">
      <c r="A86" s="283" t="s">
        <v>298</v>
      </c>
      <c r="C86" s="281">
        <v>30300</v>
      </c>
      <c r="E86" s="281">
        <v>29400</v>
      </c>
      <c r="G86" s="281">
        <v>25400</v>
      </c>
      <c r="I86" s="281">
        <v>22300</v>
      </c>
      <c r="K86" s="281">
        <v>22400</v>
      </c>
    </row>
    <row r="87" spans="1:12" ht="11.25" customHeight="1">
      <c r="A87" s="279" t="s">
        <v>294</v>
      </c>
      <c r="C87" s="281">
        <v>2770</v>
      </c>
      <c r="E87" s="281">
        <v>1680</v>
      </c>
      <c r="G87" s="281">
        <v>2750</v>
      </c>
      <c r="I87" s="281">
        <v>1590</v>
      </c>
      <c r="K87" s="281">
        <v>1590</v>
      </c>
      <c r="L87" s="282" t="s">
        <v>9</v>
      </c>
    </row>
    <row r="88" spans="1:12" ht="11.25" customHeight="1">
      <c r="A88" s="279" t="s">
        <v>569</v>
      </c>
      <c r="C88" s="286">
        <v>650</v>
      </c>
      <c r="D88" s="287"/>
      <c r="E88" s="286">
        <v>1393</v>
      </c>
      <c r="F88" s="287"/>
      <c r="G88" s="286">
        <v>1700</v>
      </c>
      <c r="H88" s="287"/>
      <c r="I88" s="286">
        <v>2000</v>
      </c>
      <c r="J88" s="287" t="s">
        <v>9</v>
      </c>
      <c r="K88" s="286">
        <v>2000</v>
      </c>
      <c r="L88" s="287" t="s">
        <v>9</v>
      </c>
    </row>
    <row r="89" spans="1:12" ht="11.25" customHeight="1">
      <c r="A89" s="279" t="s">
        <v>570</v>
      </c>
      <c r="C89" s="281">
        <v>1240000</v>
      </c>
      <c r="E89" s="281">
        <v>1260000</v>
      </c>
      <c r="G89" s="281">
        <v>1230000</v>
      </c>
      <c r="I89" s="281">
        <v>1240000</v>
      </c>
      <c r="K89" s="281">
        <v>1250000</v>
      </c>
    </row>
    <row r="90" spans="1:12" ht="11.25" customHeight="1">
      <c r="A90" s="289" t="s">
        <v>297</v>
      </c>
      <c r="C90" s="281"/>
      <c r="E90" s="281"/>
      <c r="G90" s="281"/>
      <c r="I90" s="281"/>
      <c r="K90" s="281"/>
    </row>
    <row r="91" spans="1:12" ht="11.25" customHeight="1">
      <c r="A91" s="290" t="s">
        <v>260</v>
      </c>
      <c r="C91" s="291">
        <v>70300</v>
      </c>
      <c r="D91" s="292"/>
      <c r="E91" s="291">
        <v>74400</v>
      </c>
      <c r="F91" s="292"/>
      <c r="G91" s="291">
        <v>68400</v>
      </c>
      <c r="H91" s="292"/>
      <c r="I91" s="291">
        <v>71400</v>
      </c>
      <c r="K91" s="281">
        <v>75000</v>
      </c>
    </row>
    <row r="92" spans="1:12" ht="11.25" customHeight="1">
      <c r="A92" s="290" t="s">
        <v>298</v>
      </c>
      <c r="B92" s="285"/>
      <c r="C92" s="293">
        <v>1170000</v>
      </c>
      <c r="D92" s="294"/>
      <c r="E92" s="293">
        <v>1190000</v>
      </c>
      <c r="F92" s="294"/>
      <c r="G92" s="293">
        <v>1160000</v>
      </c>
      <c r="H92" s="294"/>
      <c r="I92" s="293">
        <v>1160000</v>
      </c>
      <c r="J92" s="287"/>
      <c r="K92" s="286">
        <v>1180000</v>
      </c>
      <c r="L92" s="287"/>
    </row>
    <row r="93" spans="1:12" ht="11.25" customHeight="1">
      <c r="A93" s="428" t="s">
        <v>571</v>
      </c>
      <c r="B93" s="429"/>
      <c r="C93" s="429"/>
      <c r="D93" s="429"/>
      <c r="E93" s="429"/>
      <c r="F93" s="429"/>
      <c r="G93" s="429"/>
      <c r="H93" s="429"/>
      <c r="I93" s="429"/>
      <c r="J93" s="429"/>
      <c r="K93" s="429"/>
      <c r="L93" s="429"/>
    </row>
    <row r="94" spans="1:12" ht="22.5" customHeight="1">
      <c r="A94" s="428" t="s">
        <v>572</v>
      </c>
      <c r="B94" s="429"/>
      <c r="C94" s="429"/>
      <c r="D94" s="429"/>
      <c r="E94" s="429"/>
      <c r="F94" s="429"/>
      <c r="G94" s="429"/>
      <c r="H94" s="429"/>
      <c r="I94" s="429"/>
      <c r="J94" s="429"/>
      <c r="K94" s="429"/>
      <c r="L94" s="429"/>
    </row>
    <row r="95" spans="1:12" ht="11.25" customHeight="1">
      <c r="A95" s="428" t="s">
        <v>573</v>
      </c>
      <c r="B95" s="429"/>
      <c r="C95" s="429"/>
      <c r="D95" s="429"/>
      <c r="E95" s="429"/>
      <c r="F95" s="429"/>
      <c r="G95" s="429"/>
      <c r="H95" s="429"/>
      <c r="I95" s="429"/>
      <c r="J95" s="429"/>
      <c r="K95" s="429"/>
      <c r="L95" s="429"/>
    </row>
    <row r="96" spans="1:12" ht="11.25" customHeight="1">
      <c r="A96" s="428" t="s">
        <v>574</v>
      </c>
      <c r="B96" s="429"/>
      <c r="C96" s="429"/>
      <c r="D96" s="429"/>
      <c r="E96" s="429"/>
      <c r="F96" s="429"/>
      <c r="G96" s="429"/>
      <c r="H96" s="429"/>
      <c r="I96" s="429"/>
      <c r="J96" s="429"/>
      <c r="K96" s="429"/>
      <c r="L96" s="429"/>
    </row>
    <row r="97" spans="1:12" ht="11.25" customHeight="1">
      <c r="A97" s="434"/>
      <c r="B97" s="434"/>
      <c r="C97" s="434"/>
      <c r="D97" s="434"/>
      <c r="E97" s="434"/>
      <c r="F97" s="434"/>
      <c r="G97" s="434"/>
      <c r="H97" s="434"/>
      <c r="I97" s="434"/>
      <c r="J97" s="434"/>
      <c r="K97" s="434"/>
      <c r="L97" s="434"/>
    </row>
    <row r="98" spans="1:12" ht="11.25" customHeight="1">
      <c r="A98" s="434"/>
      <c r="B98" s="434"/>
      <c r="C98" s="434"/>
      <c r="D98" s="434"/>
      <c r="E98" s="434"/>
      <c r="F98" s="434"/>
      <c r="G98" s="434"/>
      <c r="H98" s="434"/>
      <c r="I98" s="434"/>
      <c r="J98" s="434"/>
      <c r="K98" s="434"/>
      <c r="L98" s="434"/>
    </row>
    <row r="99" spans="1:12" ht="11.25" customHeight="1">
      <c r="A99" s="434"/>
      <c r="B99" s="434"/>
      <c r="C99" s="434"/>
      <c r="D99" s="434"/>
      <c r="E99" s="434"/>
      <c r="F99" s="434"/>
      <c r="G99" s="434"/>
      <c r="H99" s="434"/>
      <c r="I99" s="434"/>
      <c r="J99" s="434"/>
      <c r="K99" s="434"/>
      <c r="L99" s="434"/>
    </row>
    <row r="100" spans="1:12" ht="11.25" customHeight="1">
      <c r="A100" s="434"/>
      <c r="B100" s="434"/>
      <c r="C100" s="434"/>
      <c r="D100" s="434"/>
      <c r="E100" s="434"/>
      <c r="F100" s="434"/>
      <c r="G100" s="434"/>
      <c r="H100" s="434"/>
      <c r="I100" s="434"/>
      <c r="J100" s="434"/>
      <c r="K100" s="434"/>
      <c r="L100" s="434"/>
    </row>
    <row r="101" spans="1:12" ht="11.25" customHeight="1">
      <c r="A101" s="434"/>
      <c r="B101" s="434"/>
      <c r="C101" s="434"/>
      <c r="D101" s="434"/>
      <c r="E101" s="434"/>
      <c r="F101" s="434"/>
      <c r="G101" s="434"/>
      <c r="H101" s="434"/>
      <c r="I101" s="434"/>
      <c r="J101" s="434"/>
      <c r="K101" s="434"/>
      <c r="L101" s="434"/>
    </row>
    <row r="102" spans="1:12" ht="11.25" customHeight="1"/>
    <row r="103" spans="1:12" ht="11.25" customHeight="1"/>
    <row r="104" spans="1:12" ht="11.25" customHeight="1"/>
    <row r="105" spans="1:12" ht="11.25" customHeight="1"/>
    <row r="106" spans="1:12" ht="11.25" customHeight="1"/>
    <row r="107" spans="1:12" ht="11.25" customHeight="1"/>
    <row r="108" spans="1:12" ht="11.25" customHeight="1"/>
    <row r="109" spans="1:12" ht="11.25" customHeight="1"/>
    <row r="110" spans="1:12" ht="11.25" customHeight="1"/>
    <row r="111" spans="1:12" ht="11.25" customHeight="1"/>
    <row r="112" spans="1:12" ht="11.25" customHeight="1"/>
    <row r="113" ht="11.25" customHeight="1"/>
    <row r="114" ht="11.25" customHeight="1"/>
    <row r="115" ht="11.25" customHeight="1"/>
  </sheetData>
  <mergeCells count="20">
    <mergeCell ref="A100:L100"/>
    <mergeCell ref="A101:L101"/>
    <mergeCell ref="A94:L94"/>
    <mergeCell ref="A95:L95"/>
    <mergeCell ref="A96:L96"/>
    <mergeCell ref="A97:L97"/>
    <mergeCell ref="A98:L98"/>
    <mergeCell ref="A99:L99"/>
    <mergeCell ref="A93:L93"/>
    <mergeCell ref="A1:L1"/>
    <mergeCell ref="A2:L2"/>
    <mergeCell ref="A3:L3"/>
    <mergeCell ref="A4:L4"/>
    <mergeCell ref="A5:L5"/>
    <mergeCell ref="A66:L66"/>
    <mergeCell ref="A67:L67"/>
    <mergeCell ref="A68:L68"/>
    <mergeCell ref="A69:L69"/>
    <mergeCell ref="A70:L70"/>
    <mergeCell ref="A71:L71"/>
  </mergeCells>
  <pageMargins left="0.5" right="0.5" top="0.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E39D-958C-C74C-BE4A-E7819A9302CE}">
  <dimension ref="A1:N91"/>
  <sheetViews>
    <sheetView topLeftCell="A72" zoomScale="189" zoomScaleNormal="100" workbookViewId="0">
      <selection activeCell="L84" sqref="A6:L84"/>
    </sheetView>
  </sheetViews>
  <sheetFormatPr baseColWidth="10" defaultColWidth="9.5" defaultRowHeight="12"/>
  <cols>
    <col min="1" max="1" width="25.6640625" style="312" customWidth="1"/>
    <col min="2" max="2" width="1.6640625" style="280" customWidth="1"/>
    <col min="3" max="3" width="8.33203125" style="313" customWidth="1"/>
    <col min="4" max="4" width="1.6640625" style="280" customWidth="1"/>
    <col min="5" max="5" width="8.33203125" style="313" customWidth="1"/>
    <col min="6" max="6" width="1.6640625" style="280" customWidth="1"/>
    <col min="7" max="7" width="8.33203125" style="313" customWidth="1"/>
    <col min="8" max="8" width="1.6640625" style="280" customWidth="1"/>
    <col min="9" max="9" width="8.33203125" style="313" customWidth="1"/>
    <col min="10" max="10" width="2.83203125" style="280" customWidth="1"/>
    <col min="11" max="11" width="8.33203125" style="313" customWidth="1"/>
    <col min="12" max="12" width="1.6640625" style="280" customWidth="1"/>
    <col min="13" max="16384" width="9.5" style="298"/>
  </cols>
  <sheetData>
    <row r="1" spans="1:13" ht="11.25" customHeight="1">
      <c r="A1" s="430" t="s">
        <v>190</v>
      </c>
      <c r="B1" s="430"/>
      <c r="C1" s="430"/>
      <c r="D1" s="430"/>
      <c r="E1" s="430"/>
      <c r="F1" s="430"/>
      <c r="G1" s="430"/>
      <c r="H1" s="430"/>
      <c r="I1" s="430"/>
      <c r="J1" s="430"/>
      <c r="K1" s="430"/>
      <c r="L1" s="430"/>
      <c r="M1" s="273"/>
    </row>
    <row r="2" spans="1:13" ht="11.25" customHeight="1">
      <c r="A2" s="430" t="s">
        <v>603</v>
      </c>
      <c r="B2" s="430"/>
      <c r="C2" s="430"/>
      <c r="D2" s="430"/>
      <c r="E2" s="430"/>
      <c r="F2" s="430"/>
      <c r="G2" s="430"/>
      <c r="H2" s="430"/>
      <c r="I2" s="430"/>
      <c r="J2" s="430"/>
      <c r="K2" s="430"/>
      <c r="L2" s="430"/>
      <c r="M2" s="273"/>
    </row>
    <row r="3" spans="1:13" ht="11.25" customHeight="1">
      <c r="A3" s="431"/>
      <c r="B3" s="431"/>
      <c r="C3" s="431"/>
      <c r="D3" s="431"/>
      <c r="E3" s="431"/>
      <c r="F3" s="431"/>
      <c r="G3" s="431"/>
      <c r="H3" s="431"/>
      <c r="I3" s="431"/>
      <c r="J3" s="431"/>
      <c r="K3" s="431"/>
      <c r="L3" s="431"/>
      <c r="M3" s="273"/>
    </row>
    <row r="4" spans="1:13" ht="11.25" customHeight="1">
      <c r="A4" s="430" t="s">
        <v>0</v>
      </c>
      <c r="B4" s="430"/>
      <c r="C4" s="430"/>
      <c r="D4" s="430"/>
      <c r="E4" s="430"/>
      <c r="F4" s="430"/>
      <c r="G4" s="430"/>
      <c r="H4" s="430"/>
      <c r="I4" s="430"/>
      <c r="J4" s="430"/>
      <c r="K4" s="430"/>
      <c r="L4" s="430"/>
      <c r="M4" s="273"/>
    </row>
    <row r="5" spans="1:13" ht="11.25" customHeight="1">
      <c r="A5" s="436"/>
      <c r="B5" s="436"/>
      <c r="C5" s="436"/>
      <c r="D5" s="436"/>
      <c r="E5" s="436"/>
      <c r="F5" s="436"/>
      <c r="G5" s="436"/>
      <c r="H5" s="436"/>
      <c r="I5" s="436"/>
      <c r="J5" s="436"/>
      <c r="K5" s="436"/>
      <c r="L5" s="436"/>
      <c r="M5" s="273"/>
    </row>
    <row r="6" spans="1:13" ht="11.25" customHeight="1">
      <c r="A6" s="296" t="s">
        <v>604</v>
      </c>
      <c r="B6" s="299"/>
      <c r="C6" s="300">
        <v>2018</v>
      </c>
      <c r="D6" s="276"/>
      <c r="E6" s="300">
        <v>2019</v>
      </c>
      <c r="F6" s="276"/>
      <c r="G6" s="300">
        <v>2020</v>
      </c>
      <c r="H6" s="276"/>
      <c r="I6" s="300">
        <v>2021</v>
      </c>
      <c r="J6" s="276"/>
      <c r="K6" s="300" t="s">
        <v>605</v>
      </c>
      <c r="L6" s="276"/>
      <c r="M6" s="273"/>
    </row>
    <row r="7" spans="1:13" ht="11.25" customHeight="1">
      <c r="A7" s="301" t="s">
        <v>193</v>
      </c>
      <c r="B7" s="274"/>
      <c r="C7" s="357">
        <f>SUM(C8:C9)</f>
        <v>400</v>
      </c>
      <c r="D7" s="357"/>
      <c r="E7" s="357">
        <f t="shared" ref="E7:K7" si="0">SUM(E8:E9)</f>
        <v>1840</v>
      </c>
      <c r="F7" s="357"/>
      <c r="G7" s="357">
        <f t="shared" si="0"/>
        <v>2530</v>
      </c>
      <c r="H7" s="357"/>
      <c r="I7" s="357">
        <f t="shared" si="0"/>
        <v>3380</v>
      </c>
      <c r="J7" s="357"/>
      <c r="K7" s="357">
        <f t="shared" si="0"/>
        <v>4180</v>
      </c>
      <c r="L7" s="282"/>
      <c r="M7" s="273"/>
    </row>
    <row r="8" spans="1:13" ht="11.25" customHeight="1">
      <c r="A8" s="302" t="s">
        <v>260</v>
      </c>
      <c r="C8" s="281">
        <v>100</v>
      </c>
      <c r="D8" s="282"/>
      <c r="E8" s="281">
        <v>1540</v>
      </c>
      <c r="F8" s="282"/>
      <c r="G8" s="281">
        <v>2230</v>
      </c>
      <c r="H8" s="282"/>
      <c r="I8" s="281">
        <v>3080</v>
      </c>
      <c r="J8" s="282" t="s">
        <v>8</v>
      </c>
      <c r="K8" s="281">
        <v>3880</v>
      </c>
      <c r="L8" s="282"/>
      <c r="M8" s="273"/>
    </row>
    <row r="9" spans="1:13" ht="11.25" customHeight="1">
      <c r="A9" s="303" t="s">
        <v>606</v>
      </c>
      <c r="C9" s="281">
        <v>300</v>
      </c>
      <c r="D9" s="282"/>
      <c r="E9" s="281">
        <v>300</v>
      </c>
      <c r="F9" s="282"/>
      <c r="G9" s="281">
        <v>300</v>
      </c>
      <c r="H9" s="282"/>
      <c r="I9" s="281">
        <v>300</v>
      </c>
      <c r="J9" s="282"/>
      <c r="K9" s="281">
        <v>300</v>
      </c>
      <c r="L9" s="282"/>
      <c r="M9" s="273"/>
    </row>
    <row r="10" spans="1:13" ht="11.25" customHeight="1">
      <c r="A10" s="304" t="s">
        <v>258</v>
      </c>
      <c r="C10" s="357">
        <f>SUM(C11:C12)</f>
        <v>3790</v>
      </c>
      <c r="D10" s="357"/>
      <c r="E10" s="357">
        <f t="shared" ref="E10:L10" si="1">SUM(E11:E12)</f>
        <v>2970</v>
      </c>
      <c r="F10" s="357"/>
      <c r="G10" s="357">
        <f t="shared" si="1"/>
        <v>2455</v>
      </c>
      <c r="H10" s="357"/>
      <c r="I10" s="357">
        <f t="shared" si="1"/>
        <v>3550</v>
      </c>
      <c r="J10" s="357"/>
      <c r="K10" s="357">
        <f t="shared" si="1"/>
        <v>3493</v>
      </c>
      <c r="L10" s="357">
        <f t="shared" si="1"/>
        <v>0</v>
      </c>
      <c r="M10" s="273"/>
    </row>
    <row r="11" spans="1:13" ht="11.25" customHeight="1">
      <c r="A11" s="303" t="s">
        <v>260</v>
      </c>
      <c r="C11" s="281">
        <v>1606</v>
      </c>
      <c r="D11" s="282"/>
      <c r="E11" s="281">
        <v>1006</v>
      </c>
      <c r="F11" s="282"/>
      <c r="G11" s="281">
        <v>525</v>
      </c>
      <c r="H11" s="282"/>
      <c r="I11" s="281">
        <v>1408</v>
      </c>
      <c r="J11" s="282"/>
      <c r="K11" s="281">
        <v>1433</v>
      </c>
      <c r="L11" s="282"/>
      <c r="M11" s="273"/>
    </row>
    <row r="12" spans="1:13" ht="11.25" customHeight="1">
      <c r="A12" s="303" t="s">
        <v>298</v>
      </c>
      <c r="C12" s="281">
        <v>2184</v>
      </c>
      <c r="D12" s="282"/>
      <c r="E12" s="281">
        <v>1964</v>
      </c>
      <c r="F12" s="282"/>
      <c r="G12" s="281">
        <v>1930</v>
      </c>
      <c r="H12" s="282"/>
      <c r="I12" s="281">
        <v>2142</v>
      </c>
      <c r="J12" s="282"/>
      <c r="K12" s="281">
        <v>2060</v>
      </c>
      <c r="L12" s="282"/>
      <c r="M12" s="273"/>
    </row>
    <row r="13" spans="1:13" ht="11.25" customHeight="1">
      <c r="A13" s="304" t="s">
        <v>532</v>
      </c>
      <c r="C13" s="281">
        <v>3882</v>
      </c>
      <c r="D13" s="282"/>
      <c r="E13" s="281">
        <v>3664</v>
      </c>
      <c r="F13" s="282"/>
      <c r="G13" s="281">
        <v>3723</v>
      </c>
      <c r="H13" s="282"/>
      <c r="I13" s="281">
        <v>3751</v>
      </c>
      <c r="J13" s="282"/>
      <c r="K13" s="281">
        <v>3652</v>
      </c>
      <c r="L13" s="282"/>
      <c r="M13" s="273"/>
    </row>
    <row r="14" spans="1:13" ht="11.25" customHeight="1">
      <c r="A14" s="304" t="s">
        <v>533</v>
      </c>
      <c r="C14" s="281">
        <v>5269</v>
      </c>
      <c r="D14" s="282"/>
      <c r="E14" s="281">
        <v>5750</v>
      </c>
      <c r="F14" s="282"/>
      <c r="G14" s="281">
        <v>5322</v>
      </c>
      <c r="H14" s="282"/>
      <c r="I14" s="281">
        <v>6144</v>
      </c>
      <c r="J14" s="282"/>
      <c r="K14" s="281">
        <v>5803</v>
      </c>
      <c r="L14" s="282"/>
      <c r="M14" s="273"/>
    </row>
    <row r="15" spans="1:13" ht="11.25" customHeight="1">
      <c r="A15" s="304" t="s">
        <v>607</v>
      </c>
      <c r="C15" s="281">
        <v>1600</v>
      </c>
      <c r="D15" s="282"/>
      <c r="E15" s="281">
        <v>1450</v>
      </c>
      <c r="F15" s="282"/>
      <c r="G15" s="281">
        <v>1380</v>
      </c>
      <c r="H15" s="282"/>
      <c r="I15" s="281">
        <v>1510</v>
      </c>
      <c r="J15" s="282" t="s">
        <v>8</v>
      </c>
      <c r="K15" s="281">
        <v>1420</v>
      </c>
      <c r="L15" s="282"/>
      <c r="M15" s="273"/>
    </row>
    <row r="16" spans="1:13" ht="11.25" customHeight="1">
      <c r="A16" s="304" t="s">
        <v>535</v>
      </c>
      <c r="C16" s="281">
        <v>4754</v>
      </c>
      <c r="D16" s="282"/>
      <c r="E16" s="281">
        <v>4818</v>
      </c>
      <c r="F16" s="282"/>
      <c r="G16" s="281">
        <v>3647</v>
      </c>
      <c r="H16" s="282"/>
      <c r="I16" s="281">
        <v>4212</v>
      </c>
      <c r="J16" s="282" t="s">
        <v>8</v>
      </c>
      <c r="K16" s="281">
        <v>4270</v>
      </c>
      <c r="L16" s="282"/>
      <c r="M16" s="273"/>
    </row>
    <row r="17" spans="1:13" ht="11.25" customHeight="1">
      <c r="A17" s="304" t="s">
        <v>536</v>
      </c>
      <c r="C17" s="281">
        <v>664</v>
      </c>
      <c r="D17" s="282"/>
      <c r="E17" s="281">
        <v>745</v>
      </c>
      <c r="F17" s="282"/>
      <c r="G17" s="281">
        <v>739</v>
      </c>
      <c r="H17" s="282"/>
      <c r="I17" s="281">
        <v>830</v>
      </c>
      <c r="J17" s="282"/>
      <c r="K17" s="281">
        <v>690</v>
      </c>
      <c r="L17" s="282" t="s">
        <v>9</v>
      </c>
      <c r="M17" s="273"/>
    </row>
    <row r="18" spans="1:13" ht="11.25" customHeight="1">
      <c r="A18" s="304" t="s">
        <v>537</v>
      </c>
      <c r="C18" s="281">
        <v>28655</v>
      </c>
      <c r="D18" s="282"/>
      <c r="E18" s="281">
        <v>26280</v>
      </c>
      <c r="F18" s="282"/>
      <c r="G18" s="281">
        <v>24628</v>
      </c>
      <c r="H18" s="282"/>
      <c r="I18" s="281">
        <v>28403</v>
      </c>
      <c r="J18" s="282"/>
      <c r="K18" s="281">
        <v>26813</v>
      </c>
      <c r="L18" s="282"/>
      <c r="M18" s="273"/>
    </row>
    <row r="19" spans="1:13" ht="11.25" customHeight="1">
      <c r="A19" s="304" t="s">
        <v>197</v>
      </c>
      <c r="C19" s="357">
        <f>SUM(C20:C21)</f>
        <v>8350</v>
      </c>
      <c r="D19" s="357"/>
      <c r="E19" s="357">
        <f t="shared" ref="E19:K19" si="2">SUM(E20:E21)</f>
        <v>7760</v>
      </c>
      <c r="F19" s="357"/>
      <c r="G19" s="357">
        <f t="shared" si="2"/>
        <v>6394</v>
      </c>
      <c r="H19" s="357"/>
      <c r="I19" s="357">
        <f t="shared" si="2"/>
        <v>7856</v>
      </c>
      <c r="J19" s="357"/>
      <c r="K19" s="357">
        <f t="shared" si="2"/>
        <v>7240</v>
      </c>
      <c r="L19" s="282"/>
      <c r="M19" s="273"/>
    </row>
    <row r="20" spans="1:13" ht="11.25" customHeight="1">
      <c r="A20" s="303" t="s">
        <v>260</v>
      </c>
      <c r="C20" s="281">
        <v>1670</v>
      </c>
      <c r="D20" s="282"/>
      <c r="E20" s="281">
        <v>1440</v>
      </c>
      <c r="F20" s="282"/>
      <c r="G20" s="281">
        <v>1171</v>
      </c>
      <c r="H20" s="282"/>
      <c r="I20" s="281">
        <v>1648</v>
      </c>
      <c r="J20" s="282"/>
      <c r="K20" s="281">
        <v>1525</v>
      </c>
      <c r="L20" s="282"/>
      <c r="M20" s="273"/>
    </row>
    <row r="21" spans="1:13" ht="11.25" customHeight="1">
      <c r="A21" s="303" t="s">
        <v>298</v>
      </c>
      <c r="C21" s="281">
        <v>6680</v>
      </c>
      <c r="D21" s="282"/>
      <c r="E21" s="281">
        <v>6320</v>
      </c>
      <c r="F21" s="282"/>
      <c r="G21" s="281">
        <v>5223</v>
      </c>
      <c r="H21" s="282"/>
      <c r="I21" s="281">
        <v>6208</v>
      </c>
      <c r="J21" s="282"/>
      <c r="K21" s="281">
        <v>5715</v>
      </c>
      <c r="L21" s="282"/>
      <c r="M21" s="273"/>
    </row>
    <row r="22" spans="1:13" ht="11.25" customHeight="1">
      <c r="A22" s="304" t="s">
        <v>538</v>
      </c>
      <c r="C22" s="281">
        <v>661</v>
      </c>
      <c r="D22" s="282"/>
      <c r="E22" s="281">
        <v>595</v>
      </c>
      <c r="F22" s="282"/>
      <c r="G22" s="281">
        <v>663</v>
      </c>
      <c r="H22" s="282"/>
      <c r="I22" s="281">
        <v>710</v>
      </c>
      <c r="J22" s="282"/>
      <c r="K22" s="281">
        <v>581</v>
      </c>
      <c r="L22" s="282"/>
      <c r="M22" s="273"/>
    </row>
    <row r="23" spans="1:13" ht="11.25" customHeight="1">
      <c r="A23" s="304" t="s">
        <v>608</v>
      </c>
      <c r="C23" s="281">
        <v>779880</v>
      </c>
      <c r="D23" s="282"/>
      <c r="E23" s="281">
        <v>808494</v>
      </c>
      <c r="F23" s="282"/>
      <c r="G23" s="281">
        <v>907597</v>
      </c>
      <c r="H23" s="282" t="s">
        <v>8</v>
      </c>
      <c r="I23" s="281">
        <v>868568</v>
      </c>
      <c r="J23" s="282" t="s">
        <v>8</v>
      </c>
      <c r="K23" s="281">
        <v>865683</v>
      </c>
      <c r="L23" s="282"/>
      <c r="M23" s="273"/>
    </row>
    <row r="24" spans="1:13" ht="11.25" customHeight="1">
      <c r="A24" s="304" t="s">
        <v>540</v>
      </c>
      <c r="C24" s="281">
        <v>205</v>
      </c>
      <c r="D24" s="282"/>
      <c r="E24" s="281">
        <v>207</v>
      </c>
      <c r="F24" s="282"/>
      <c r="G24" s="281">
        <v>164</v>
      </c>
      <c r="H24" s="282"/>
      <c r="I24" s="281">
        <v>220</v>
      </c>
      <c r="J24" s="282"/>
      <c r="K24" s="281">
        <v>213</v>
      </c>
      <c r="L24" s="282"/>
      <c r="M24" s="273"/>
    </row>
    <row r="25" spans="1:13" ht="11.25" customHeight="1">
      <c r="A25" s="304" t="s">
        <v>541</v>
      </c>
      <c r="C25" s="281">
        <v>4005</v>
      </c>
      <c r="D25" s="282"/>
      <c r="E25" s="281">
        <v>3635</v>
      </c>
      <c r="F25" s="282"/>
      <c r="G25" s="281">
        <v>3540</v>
      </c>
      <c r="H25" s="282"/>
      <c r="I25" s="281">
        <v>3874</v>
      </c>
      <c r="J25" s="282"/>
      <c r="K25" s="281">
        <v>3385</v>
      </c>
      <c r="L25" s="282"/>
      <c r="M25" s="273"/>
    </row>
    <row r="26" spans="1:13" ht="11.25" customHeight="1">
      <c r="A26" s="304" t="s">
        <v>198</v>
      </c>
      <c r="C26" s="357">
        <f>SUM(C27:C28)</f>
        <v>5903</v>
      </c>
      <c r="D26" s="357"/>
      <c r="E26" s="357">
        <f t="shared" ref="E26:K26" si="3">SUM(E27:E28)</f>
        <v>4596</v>
      </c>
      <c r="F26" s="357"/>
      <c r="G26" s="357">
        <f t="shared" si="3"/>
        <v>4948</v>
      </c>
      <c r="H26" s="357"/>
      <c r="I26" s="357">
        <f t="shared" si="3"/>
        <v>5355</v>
      </c>
      <c r="J26" s="357"/>
      <c r="K26" s="357">
        <f t="shared" si="3"/>
        <v>6024</v>
      </c>
      <c r="L26" s="282"/>
      <c r="M26" s="273"/>
    </row>
    <row r="27" spans="1:13" ht="11.25" customHeight="1">
      <c r="A27" s="303" t="s">
        <v>260</v>
      </c>
      <c r="C27" s="281">
        <v>5753</v>
      </c>
      <c r="D27" s="282"/>
      <c r="E27" s="281">
        <v>4426</v>
      </c>
      <c r="F27" s="282"/>
      <c r="G27" s="281">
        <v>4828</v>
      </c>
      <c r="H27" s="282"/>
      <c r="I27" s="281">
        <v>5355</v>
      </c>
      <c r="J27" s="282"/>
      <c r="K27" s="281">
        <v>6024</v>
      </c>
      <c r="L27" s="282"/>
      <c r="M27" s="273"/>
    </row>
    <row r="28" spans="1:13" ht="11.25" customHeight="1">
      <c r="A28" s="283" t="s">
        <v>298</v>
      </c>
      <c r="C28" s="281">
        <v>150</v>
      </c>
      <c r="D28" s="282" t="s">
        <v>9</v>
      </c>
      <c r="E28" s="281">
        <v>170</v>
      </c>
      <c r="F28" s="282" t="s">
        <v>9</v>
      </c>
      <c r="G28" s="281">
        <v>120</v>
      </c>
      <c r="H28" s="282" t="s">
        <v>9</v>
      </c>
      <c r="I28" s="305" t="s">
        <v>12</v>
      </c>
      <c r="J28" s="282" t="s">
        <v>8</v>
      </c>
      <c r="K28" s="305" t="s">
        <v>12</v>
      </c>
      <c r="L28" s="282"/>
      <c r="M28" s="273"/>
    </row>
    <row r="29" spans="1:13" ht="11.25" customHeight="1">
      <c r="A29" s="304" t="s">
        <v>542</v>
      </c>
      <c r="C29" s="281">
        <v>2976</v>
      </c>
      <c r="D29" s="282"/>
      <c r="E29" s="281">
        <v>2260</v>
      </c>
      <c r="F29" s="282"/>
      <c r="G29" s="281">
        <v>2275</v>
      </c>
      <c r="H29" s="282"/>
      <c r="I29" s="281">
        <v>2473</v>
      </c>
      <c r="J29" s="282" t="s">
        <v>8</v>
      </c>
      <c r="K29" s="281">
        <v>1875</v>
      </c>
      <c r="L29" s="282"/>
      <c r="M29" s="273"/>
    </row>
    <row r="30" spans="1:13" ht="11.25" customHeight="1">
      <c r="A30" s="304" t="s">
        <v>543</v>
      </c>
      <c r="C30" s="281">
        <v>10530</v>
      </c>
      <c r="D30" s="282"/>
      <c r="E30" s="281">
        <v>9877</v>
      </c>
      <c r="F30" s="282"/>
      <c r="G30" s="281">
        <v>7696</v>
      </c>
      <c r="H30" s="282"/>
      <c r="I30" s="281">
        <v>9470</v>
      </c>
      <c r="J30" s="282"/>
      <c r="K30" s="281">
        <v>8183</v>
      </c>
      <c r="L30" s="282"/>
      <c r="M30" s="273"/>
    </row>
    <row r="31" spans="1:13" ht="11.25" customHeight="1">
      <c r="A31" s="304" t="s">
        <v>199</v>
      </c>
      <c r="C31" s="281">
        <f>C32+C33</f>
        <v>27831</v>
      </c>
      <c r="D31" s="281"/>
      <c r="E31" s="281">
        <f t="shared" ref="E31:K31" si="4">E32+E33</f>
        <v>25554</v>
      </c>
      <c r="F31" s="281"/>
      <c r="G31" s="281">
        <f t="shared" si="4"/>
        <v>23007</v>
      </c>
      <c r="H31" s="281"/>
      <c r="I31" s="281">
        <f t="shared" si="4"/>
        <v>26196</v>
      </c>
      <c r="J31" s="281"/>
      <c r="K31" s="281">
        <f t="shared" si="4"/>
        <v>24006</v>
      </c>
      <c r="L31" s="282"/>
      <c r="M31" s="273"/>
    </row>
    <row r="32" spans="1:13" ht="11.25" customHeight="1">
      <c r="A32" s="303" t="s">
        <v>260</v>
      </c>
      <c r="C32" s="281">
        <v>560</v>
      </c>
      <c r="D32" s="282"/>
      <c r="E32" s="281">
        <v>470</v>
      </c>
      <c r="F32" s="282"/>
      <c r="G32" s="281">
        <v>530</v>
      </c>
      <c r="H32" s="282"/>
      <c r="I32" s="281">
        <v>500</v>
      </c>
      <c r="J32" s="282"/>
      <c r="K32" s="281">
        <v>150</v>
      </c>
      <c r="L32" s="282"/>
      <c r="M32" s="273"/>
    </row>
    <row r="33" spans="1:13" ht="11.25" customHeight="1">
      <c r="A33" s="303" t="s">
        <v>298</v>
      </c>
      <c r="C33" s="281">
        <v>27271</v>
      </c>
      <c r="D33" s="282"/>
      <c r="E33" s="281">
        <v>25084</v>
      </c>
      <c r="F33" s="282" t="s">
        <v>8</v>
      </c>
      <c r="G33" s="281">
        <v>22477</v>
      </c>
      <c r="H33" s="282" t="s">
        <v>8</v>
      </c>
      <c r="I33" s="281">
        <v>25696</v>
      </c>
      <c r="J33" s="282" t="s">
        <v>8</v>
      </c>
      <c r="K33" s="281">
        <v>23856</v>
      </c>
      <c r="L33" s="282"/>
      <c r="M33" s="273"/>
    </row>
    <row r="34" spans="1:13" ht="11.25" customHeight="1">
      <c r="A34" s="304" t="s">
        <v>544</v>
      </c>
      <c r="C34" s="281">
        <v>1355</v>
      </c>
      <c r="D34" s="282"/>
      <c r="E34" s="281">
        <v>1151</v>
      </c>
      <c r="F34" s="282"/>
      <c r="G34" s="281">
        <v>968</v>
      </c>
      <c r="H34" s="282"/>
      <c r="I34" s="281">
        <v>605</v>
      </c>
      <c r="J34" s="282"/>
      <c r="K34" s="281">
        <v>492</v>
      </c>
      <c r="L34" s="282"/>
      <c r="M34" s="273"/>
    </row>
    <row r="35" spans="1:13" ht="11.25" customHeight="1">
      <c r="A35" s="304" t="s">
        <v>200</v>
      </c>
      <c r="C35" s="281">
        <f>C36+C37</f>
        <v>106823</v>
      </c>
      <c r="D35" s="281"/>
      <c r="E35" s="281">
        <f t="shared" ref="E35:K35" si="5">E36+E37</f>
        <v>110974</v>
      </c>
      <c r="F35" s="281"/>
      <c r="G35" s="281">
        <f t="shared" si="5"/>
        <v>101375</v>
      </c>
      <c r="H35" s="281"/>
      <c r="I35" s="281">
        <f t="shared" si="5"/>
        <v>116917</v>
      </c>
      <c r="J35" s="281"/>
      <c r="K35" s="281">
        <f t="shared" si="5"/>
        <v>122171</v>
      </c>
      <c r="L35" s="282"/>
      <c r="M35" s="273"/>
    </row>
    <row r="36" spans="1:13" ht="11.25" customHeight="1">
      <c r="A36" s="303" t="s">
        <v>260</v>
      </c>
      <c r="C36" s="281">
        <v>34213</v>
      </c>
      <c r="D36" s="282"/>
      <c r="E36" s="281">
        <v>36818</v>
      </c>
      <c r="F36" s="282"/>
      <c r="G36" s="281">
        <v>33593</v>
      </c>
      <c r="H36" s="282"/>
      <c r="I36" s="281">
        <v>39068</v>
      </c>
      <c r="J36" s="282"/>
      <c r="K36" s="281">
        <v>42283</v>
      </c>
      <c r="L36" s="282"/>
      <c r="M36" s="273"/>
    </row>
    <row r="37" spans="1:13" ht="11.25" customHeight="1">
      <c r="A37" s="303" t="s">
        <v>298</v>
      </c>
      <c r="C37" s="281">
        <v>72610</v>
      </c>
      <c r="D37" s="282"/>
      <c r="E37" s="281">
        <v>74156</v>
      </c>
      <c r="F37" s="282"/>
      <c r="G37" s="281">
        <v>67782</v>
      </c>
      <c r="H37" s="282"/>
      <c r="I37" s="281">
        <v>77849</v>
      </c>
      <c r="J37" s="282"/>
      <c r="K37" s="281">
        <v>79888</v>
      </c>
      <c r="L37" s="282"/>
      <c r="M37" s="273"/>
    </row>
    <row r="38" spans="1:13" ht="11.25" customHeight="1">
      <c r="A38" s="304" t="s">
        <v>201</v>
      </c>
      <c r="C38" s="281">
        <f>C39+C40</f>
        <v>2967</v>
      </c>
      <c r="D38" s="281"/>
      <c r="E38" s="281">
        <f t="shared" ref="E38:K38" si="6">E39+E40</f>
        <v>3020</v>
      </c>
      <c r="F38" s="281"/>
      <c r="G38" s="281">
        <f t="shared" si="6"/>
        <v>3031</v>
      </c>
      <c r="H38" s="281"/>
      <c r="I38" s="281">
        <f t="shared" si="6"/>
        <v>3424</v>
      </c>
      <c r="J38" s="281"/>
      <c r="K38" s="281">
        <f t="shared" si="6"/>
        <v>3524</v>
      </c>
      <c r="L38" s="282"/>
      <c r="M38" s="273"/>
    </row>
    <row r="39" spans="1:13" ht="11.25" customHeight="1">
      <c r="A39" s="303" t="s">
        <v>260</v>
      </c>
      <c r="C39" s="281">
        <v>237</v>
      </c>
      <c r="D39" s="282"/>
      <c r="E39" s="281">
        <v>120</v>
      </c>
      <c r="F39" s="282"/>
      <c r="G39" s="281">
        <v>31</v>
      </c>
      <c r="H39" s="282"/>
      <c r="I39" s="281">
        <v>24</v>
      </c>
      <c r="J39" s="282" t="s">
        <v>79</v>
      </c>
      <c r="K39" s="281">
        <v>24</v>
      </c>
      <c r="L39" s="282" t="s">
        <v>9</v>
      </c>
      <c r="M39" s="273"/>
    </row>
    <row r="40" spans="1:13" ht="11.25" customHeight="1">
      <c r="A40" s="303" t="s">
        <v>298</v>
      </c>
      <c r="C40" s="281">
        <v>2730</v>
      </c>
      <c r="D40" s="282"/>
      <c r="E40" s="281">
        <v>2900</v>
      </c>
      <c r="F40" s="282"/>
      <c r="G40" s="281">
        <v>3000</v>
      </c>
      <c r="H40" s="282" t="s">
        <v>8</v>
      </c>
      <c r="I40" s="281">
        <v>3400</v>
      </c>
      <c r="J40" s="282" t="s">
        <v>79</v>
      </c>
      <c r="K40" s="281">
        <v>3500</v>
      </c>
      <c r="L40" s="282" t="s">
        <v>9</v>
      </c>
      <c r="M40" s="273"/>
    </row>
    <row r="41" spans="1:13" ht="11.25" customHeight="1">
      <c r="A41" s="304" t="s">
        <v>202</v>
      </c>
      <c r="C41" s="281">
        <f>C42+C43</f>
        <v>28112</v>
      </c>
      <c r="D41" s="281"/>
      <c r="E41" s="281">
        <f t="shared" ref="E41:K41" si="7">E42+E43</f>
        <v>31050</v>
      </c>
      <c r="F41" s="281"/>
      <c r="G41" s="281">
        <f t="shared" si="7"/>
        <v>32677</v>
      </c>
      <c r="H41" s="281"/>
      <c r="I41" s="281">
        <f t="shared" si="7"/>
        <v>34540</v>
      </c>
      <c r="J41" s="281"/>
      <c r="K41" s="281">
        <f t="shared" si="7"/>
        <v>35407</v>
      </c>
      <c r="L41" s="282"/>
      <c r="M41" s="273"/>
    </row>
    <row r="42" spans="1:13" ht="11.25" customHeight="1">
      <c r="A42" s="303" t="s">
        <v>260</v>
      </c>
      <c r="C42" s="281">
        <v>25750</v>
      </c>
      <c r="D42" s="282"/>
      <c r="E42" s="281">
        <v>28520</v>
      </c>
      <c r="F42" s="282"/>
      <c r="G42" s="281">
        <v>30211</v>
      </c>
      <c r="H42" s="282"/>
      <c r="I42" s="281">
        <v>31850</v>
      </c>
      <c r="J42" s="282" t="s">
        <v>8</v>
      </c>
      <c r="K42" s="281">
        <v>32897</v>
      </c>
      <c r="L42" s="282"/>
      <c r="M42" s="273"/>
    </row>
    <row r="43" spans="1:13" ht="11.25" customHeight="1">
      <c r="A43" s="303" t="s">
        <v>298</v>
      </c>
      <c r="C43" s="281">
        <v>2362</v>
      </c>
      <c r="D43" s="282"/>
      <c r="E43" s="281">
        <v>2530</v>
      </c>
      <c r="F43" s="282"/>
      <c r="G43" s="281">
        <v>2466</v>
      </c>
      <c r="H43" s="282"/>
      <c r="I43" s="281">
        <v>2690</v>
      </c>
      <c r="J43" s="282"/>
      <c r="K43" s="281">
        <v>2510</v>
      </c>
      <c r="L43" s="282"/>
      <c r="M43" s="273"/>
    </row>
    <row r="44" spans="1:13" ht="11.25" customHeight="1">
      <c r="A44" s="304" t="s">
        <v>546</v>
      </c>
      <c r="C44" s="281">
        <v>4836</v>
      </c>
      <c r="D44" s="282"/>
      <c r="E44" s="281">
        <v>4607</v>
      </c>
      <c r="F44" s="282"/>
      <c r="G44" s="281">
        <v>3405</v>
      </c>
      <c r="H44" s="282"/>
      <c r="I44" s="281">
        <v>3925</v>
      </c>
      <c r="J44" s="282"/>
      <c r="K44" s="281">
        <v>3464</v>
      </c>
      <c r="L44" s="282"/>
      <c r="M44" s="273"/>
    </row>
    <row r="45" spans="1:13" ht="11.25" customHeight="1">
      <c r="A45" s="304" t="s">
        <v>547</v>
      </c>
      <c r="C45" s="281">
        <v>77328</v>
      </c>
      <c r="D45" s="282"/>
      <c r="E45" s="281">
        <v>74907</v>
      </c>
      <c r="F45" s="282"/>
      <c r="G45" s="281">
        <v>61600</v>
      </c>
      <c r="H45" s="282"/>
      <c r="I45" s="281">
        <v>70344</v>
      </c>
      <c r="J45" s="282"/>
      <c r="K45" s="281">
        <v>64147</v>
      </c>
      <c r="L45" s="282"/>
      <c r="M45" s="273"/>
    </row>
    <row r="46" spans="1:13" ht="11.25" customHeight="1">
      <c r="A46" s="304" t="s">
        <v>548</v>
      </c>
      <c r="C46" s="281">
        <v>3174</v>
      </c>
      <c r="D46" s="282"/>
      <c r="E46" s="281">
        <v>3209</v>
      </c>
      <c r="F46" s="282"/>
      <c r="G46" s="281">
        <v>3212</v>
      </c>
      <c r="H46" s="282"/>
      <c r="I46" s="281">
        <v>3624</v>
      </c>
      <c r="J46" s="282" t="s">
        <v>8</v>
      </c>
      <c r="K46" s="281">
        <v>2920</v>
      </c>
      <c r="L46" s="282"/>
      <c r="M46" s="273"/>
    </row>
    <row r="47" spans="1:13" ht="11.25" customHeight="1">
      <c r="A47" s="279" t="s">
        <v>609</v>
      </c>
      <c r="C47" s="281">
        <v>250</v>
      </c>
      <c r="D47" s="282"/>
      <c r="E47" s="281">
        <v>250</v>
      </c>
      <c r="F47" s="282"/>
      <c r="G47" s="281">
        <v>250</v>
      </c>
      <c r="H47" s="282"/>
      <c r="I47" s="281">
        <v>250</v>
      </c>
      <c r="J47" s="282"/>
      <c r="K47" s="281">
        <v>250</v>
      </c>
      <c r="L47" s="282"/>
      <c r="M47" s="273"/>
    </row>
    <row r="48" spans="1:13" ht="11.25" customHeight="1">
      <c r="A48" s="304" t="s">
        <v>550</v>
      </c>
      <c r="C48" s="281">
        <v>47124</v>
      </c>
      <c r="D48" s="282"/>
      <c r="E48" s="281">
        <v>47521</v>
      </c>
      <c r="F48" s="282"/>
      <c r="G48" s="281">
        <v>45360</v>
      </c>
      <c r="H48" s="282"/>
      <c r="I48" s="281">
        <v>46441</v>
      </c>
      <c r="J48" s="282"/>
      <c r="K48" s="281">
        <v>42195</v>
      </c>
      <c r="L48" s="282"/>
      <c r="M48" s="273"/>
    </row>
    <row r="49" spans="1:13" ht="11.25" customHeight="1">
      <c r="A49" s="304" t="s">
        <v>473</v>
      </c>
      <c r="C49" s="281">
        <v>612</v>
      </c>
      <c r="D49" s="282"/>
      <c r="E49" s="281">
        <v>880</v>
      </c>
      <c r="F49" s="282"/>
      <c r="G49" s="281">
        <v>796</v>
      </c>
      <c r="H49" s="282"/>
      <c r="I49" s="281">
        <v>861</v>
      </c>
      <c r="J49" s="282"/>
      <c r="K49" s="281">
        <v>1051</v>
      </c>
      <c r="L49" s="282"/>
      <c r="M49" s="273"/>
    </row>
    <row r="50" spans="1:13" ht="11.25" customHeight="1">
      <c r="A50" s="304" t="s">
        <v>387</v>
      </c>
      <c r="C50" s="281">
        <v>743</v>
      </c>
      <c r="D50" s="282"/>
      <c r="E50" s="281">
        <v>595</v>
      </c>
      <c r="F50" s="282"/>
      <c r="G50" s="281">
        <v>747</v>
      </c>
      <c r="H50" s="282"/>
      <c r="I50" s="281">
        <v>360</v>
      </c>
      <c r="J50" s="282" t="s">
        <v>8</v>
      </c>
      <c r="K50" s="281">
        <v>780</v>
      </c>
      <c r="L50" s="282"/>
      <c r="M50" s="273"/>
    </row>
    <row r="51" spans="1:13" ht="11.25" customHeight="1">
      <c r="A51" s="304" t="s">
        <v>205</v>
      </c>
      <c r="C51" s="281">
        <f>C52+C53</f>
        <v>10400</v>
      </c>
      <c r="D51" s="281"/>
      <c r="E51" s="281">
        <f t="shared" ref="E51:K51" si="8">E52+E53</f>
        <v>9820</v>
      </c>
      <c r="F51" s="281"/>
      <c r="G51" s="281">
        <f t="shared" si="8"/>
        <v>7606</v>
      </c>
      <c r="H51" s="281"/>
      <c r="I51" s="281">
        <f t="shared" si="8"/>
        <v>8539</v>
      </c>
      <c r="J51" s="281"/>
      <c r="K51" s="281">
        <f t="shared" si="8"/>
        <v>8030</v>
      </c>
      <c r="L51" s="282"/>
      <c r="M51" s="273"/>
    </row>
    <row r="52" spans="1:13" ht="11.25" customHeight="1">
      <c r="A52" s="303" t="s">
        <v>260</v>
      </c>
      <c r="C52" s="281">
        <v>5972</v>
      </c>
      <c r="D52" s="282"/>
      <c r="E52" s="281">
        <v>5975</v>
      </c>
      <c r="F52" s="282"/>
      <c r="G52" s="281">
        <v>5170</v>
      </c>
      <c r="H52" s="282"/>
      <c r="I52" s="281">
        <v>5792</v>
      </c>
      <c r="J52" s="282"/>
      <c r="K52" s="281">
        <v>5840</v>
      </c>
      <c r="L52" s="282"/>
      <c r="M52" s="273"/>
    </row>
    <row r="53" spans="1:13" ht="11.25" customHeight="1">
      <c r="A53" s="303" t="s">
        <v>298</v>
      </c>
      <c r="C53" s="281">
        <v>4428</v>
      </c>
      <c r="D53" s="282"/>
      <c r="E53" s="281">
        <v>3845</v>
      </c>
      <c r="F53" s="282"/>
      <c r="G53" s="281">
        <v>2436</v>
      </c>
      <c r="H53" s="282"/>
      <c r="I53" s="281">
        <v>2747</v>
      </c>
      <c r="J53" s="282"/>
      <c r="K53" s="281">
        <v>2190</v>
      </c>
      <c r="L53" s="282"/>
      <c r="M53" s="273"/>
    </row>
    <row r="54" spans="1:13" ht="11.25" customHeight="1">
      <c r="A54" s="304" t="s">
        <v>610</v>
      </c>
      <c r="C54" s="281">
        <v>6150</v>
      </c>
      <c r="D54" s="282"/>
      <c r="E54" s="281">
        <v>5936</v>
      </c>
      <c r="F54" s="282"/>
      <c r="G54" s="281">
        <v>5435</v>
      </c>
      <c r="H54" s="282"/>
      <c r="I54" s="281">
        <v>5895</v>
      </c>
      <c r="J54" s="282"/>
      <c r="K54" s="281">
        <v>5514</v>
      </c>
      <c r="L54" s="282"/>
      <c r="M54" s="273"/>
    </row>
    <row r="55" spans="1:13" ht="11.25" customHeight="1">
      <c r="A55" s="304" t="s">
        <v>552</v>
      </c>
      <c r="C55" s="281">
        <v>679</v>
      </c>
      <c r="D55" s="282"/>
      <c r="E55" s="281">
        <v>672</v>
      </c>
      <c r="F55" s="282"/>
      <c r="G55" s="281">
        <v>613</v>
      </c>
      <c r="H55" s="282"/>
      <c r="I55" s="281">
        <v>693</v>
      </c>
      <c r="J55" s="282"/>
      <c r="K55" s="281">
        <v>624</v>
      </c>
      <c r="L55" s="282"/>
      <c r="M55" s="273"/>
    </row>
    <row r="56" spans="1:13" ht="11.25" customHeight="1">
      <c r="A56" s="304" t="s">
        <v>553</v>
      </c>
      <c r="C56" s="281">
        <v>79</v>
      </c>
      <c r="D56" s="282"/>
      <c r="E56" s="281">
        <v>74</v>
      </c>
      <c r="F56" s="282"/>
      <c r="G56" s="281">
        <v>81</v>
      </c>
      <c r="H56" s="282"/>
      <c r="I56" s="281">
        <v>85</v>
      </c>
      <c r="J56" s="282" t="s">
        <v>8</v>
      </c>
      <c r="K56" s="281">
        <v>80</v>
      </c>
      <c r="L56" s="282"/>
      <c r="M56" s="273"/>
    </row>
    <row r="57" spans="1:13" ht="11.25" customHeight="1">
      <c r="A57" s="304" t="s">
        <v>478</v>
      </c>
      <c r="C57" s="281">
        <v>1500</v>
      </c>
      <c r="D57" s="282"/>
      <c r="E57" s="281">
        <v>1750</v>
      </c>
      <c r="F57" s="282"/>
      <c r="G57" s="281">
        <v>1730</v>
      </c>
      <c r="H57" s="282"/>
      <c r="I57" s="281">
        <v>1700</v>
      </c>
      <c r="J57" s="282"/>
      <c r="K57" s="281">
        <v>1820</v>
      </c>
      <c r="L57" s="282"/>
      <c r="M57" s="273"/>
    </row>
    <row r="58" spans="1:13" ht="11.25" customHeight="1">
      <c r="A58" s="304" t="s">
        <v>555</v>
      </c>
      <c r="C58" s="281">
        <v>39</v>
      </c>
      <c r="D58" s="282"/>
      <c r="E58" s="281">
        <v>40</v>
      </c>
      <c r="F58" s="282"/>
      <c r="G58" s="281">
        <v>35</v>
      </c>
      <c r="H58" s="282"/>
      <c r="I58" s="281">
        <v>45</v>
      </c>
      <c r="J58" s="282"/>
      <c r="K58" s="281">
        <v>40</v>
      </c>
      <c r="L58" s="282"/>
      <c r="M58" s="273"/>
    </row>
    <row r="59" spans="1:13" ht="11.25" customHeight="1">
      <c r="A59" s="304" t="s">
        <v>557</v>
      </c>
      <c r="C59" s="281">
        <v>4788</v>
      </c>
      <c r="D59" s="282"/>
      <c r="E59" s="281">
        <v>4242</v>
      </c>
      <c r="F59" s="282"/>
      <c r="G59" s="281">
        <v>3502</v>
      </c>
      <c r="H59" s="282"/>
      <c r="I59" s="281">
        <v>3587</v>
      </c>
      <c r="J59" s="282"/>
      <c r="K59" s="281">
        <v>3061</v>
      </c>
      <c r="L59" s="282"/>
      <c r="M59" s="273"/>
    </row>
    <row r="60" spans="1:13" ht="11.25" customHeight="1">
      <c r="A60" s="304" t="s">
        <v>558</v>
      </c>
      <c r="C60" s="281">
        <v>2465</v>
      </c>
      <c r="D60" s="282"/>
      <c r="E60" s="281">
        <v>2393</v>
      </c>
      <c r="F60" s="282"/>
      <c r="G60" s="281">
        <v>753</v>
      </c>
      <c r="H60" s="282"/>
      <c r="I60" s="281">
        <v>781</v>
      </c>
      <c r="J60" s="282"/>
      <c r="K60" s="281">
        <v>1611</v>
      </c>
      <c r="L60" s="282"/>
      <c r="M60" s="273"/>
    </row>
    <row r="61" spans="1:13" ht="11.25" customHeight="1">
      <c r="A61" s="304" t="s">
        <v>559</v>
      </c>
      <c r="C61" s="281">
        <v>1900</v>
      </c>
      <c r="D61" s="282"/>
      <c r="E61" s="281">
        <v>2000</v>
      </c>
      <c r="F61" s="282"/>
      <c r="G61" s="281">
        <v>1848</v>
      </c>
      <c r="H61" s="282"/>
      <c r="I61" s="281">
        <v>2089</v>
      </c>
      <c r="J61" s="282"/>
      <c r="K61" s="281">
        <v>1481</v>
      </c>
      <c r="L61" s="282"/>
      <c r="M61" s="273"/>
    </row>
    <row r="62" spans="1:13" ht="11.25" customHeight="1">
      <c r="A62" s="304" t="s">
        <v>208</v>
      </c>
      <c r="C62" s="281">
        <f>C63+C64</f>
        <v>59697</v>
      </c>
      <c r="D62" s="281"/>
      <c r="E62" s="281">
        <f t="shared" ref="E62:K62" si="9">E63+E64</f>
        <v>59214</v>
      </c>
      <c r="F62" s="281"/>
      <c r="G62" s="281">
        <f t="shared" si="9"/>
        <v>59933</v>
      </c>
      <c r="H62" s="281"/>
      <c r="I62" s="281">
        <f t="shared" si="9"/>
        <v>61551</v>
      </c>
      <c r="J62" s="281"/>
      <c r="K62" s="281">
        <f t="shared" si="9"/>
        <v>59317</v>
      </c>
      <c r="L62" s="282"/>
      <c r="M62" s="273"/>
    </row>
    <row r="63" spans="1:13" ht="11.25" customHeight="1">
      <c r="A63" s="303" t="s">
        <v>260</v>
      </c>
      <c r="C63" s="281">
        <v>7900</v>
      </c>
      <c r="D63" s="282"/>
      <c r="E63" s="281">
        <v>8030</v>
      </c>
      <c r="F63" s="282"/>
      <c r="G63" s="281">
        <v>7930</v>
      </c>
      <c r="H63" s="282"/>
      <c r="I63" s="281">
        <v>7766</v>
      </c>
      <c r="J63" s="282"/>
      <c r="K63" s="281">
        <v>7711</v>
      </c>
      <c r="L63" s="282"/>
      <c r="M63" s="273"/>
    </row>
    <row r="64" spans="1:13" ht="11.25" customHeight="1">
      <c r="A64" s="303" t="s">
        <v>298</v>
      </c>
      <c r="C64" s="281">
        <v>51797</v>
      </c>
      <c r="D64" s="282"/>
      <c r="E64" s="281">
        <v>51184</v>
      </c>
      <c r="F64" s="282"/>
      <c r="G64" s="281">
        <v>52003</v>
      </c>
      <c r="H64" s="282"/>
      <c r="I64" s="281">
        <v>53785</v>
      </c>
      <c r="J64" s="282" t="s">
        <v>8</v>
      </c>
      <c r="K64" s="281">
        <v>51606</v>
      </c>
      <c r="L64" s="282"/>
      <c r="M64" s="273"/>
    </row>
    <row r="65" spans="1:13" ht="11.25" customHeight="1">
      <c r="A65" s="304" t="s">
        <v>285</v>
      </c>
      <c r="C65" s="281">
        <v>6000</v>
      </c>
      <c r="D65" s="282"/>
      <c r="E65" s="281">
        <v>5800</v>
      </c>
      <c r="F65" s="282"/>
      <c r="G65" s="281">
        <v>5200</v>
      </c>
      <c r="H65" s="282"/>
      <c r="I65" s="281">
        <v>6128</v>
      </c>
      <c r="J65" s="282"/>
      <c r="K65" s="281">
        <v>6714</v>
      </c>
      <c r="L65" s="282"/>
      <c r="M65" s="273"/>
    </row>
    <row r="66" spans="1:13" ht="11.25" customHeight="1">
      <c r="A66" s="304" t="s">
        <v>560</v>
      </c>
      <c r="C66" s="281">
        <v>1593</v>
      </c>
      <c r="D66" s="282"/>
      <c r="E66" s="281">
        <v>1577</v>
      </c>
      <c r="F66" s="282"/>
      <c r="G66" s="281">
        <v>1107</v>
      </c>
      <c r="H66" s="282"/>
      <c r="I66" s="281">
        <v>1186</v>
      </c>
      <c r="J66" s="282"/>
      <c r="K66" s="281">
        <v>1145</v>
      </c>
      <c r="L66" s="282"/>
      <c r="M66" s="273"/>
    </row>
    <row r="67" spans="1:13" ht="11.25" customHeight="1">
      <c r="A67" s="304" t="s">
        <v>561</v>
      </c>
      <c r="C67" s="281">
        <v>4037</v>
      </c>
      <c r="D67" s="282"/>
      <c r="E67" s="281">
        <v>3185</v>
      </c>
      <c r="F67" s="282"/>
      <c r="G67" s="281">
        <v>2753</v>
      </c>
      <c r="H67" s="282"/>
      <c r="I67" s="281">
        <v>4014</v>
      </c>
      <c r="J67" s="282"/>
      <c r="K67" s="281">
        <v>3153</v>
      </c>
      <c r="L67" s="282"/>
      <c r="M67" s="273"/>
    </row>
    <row r="68" spans="1:13" ht="11.25" customHeight="1">
      <c r="A68" s="304" t="s">
        <v>209</v>
      </c>
      <c r="C68" s="281">
        <f>C69+C70</f>
        <v>5446</v>
      </c>
      <c r="D68" s="281"/>
      <c r="E68" s="281">
        <f t="shared" ref="E68:K68" si="10">E69+E70</f>
        <v>4452</v>
      </c>
      <c r="F68" s="281"/>
      <c r="G68" s="281">
        <f t="shared" si="10"/>
        <v>2279</v>
      </c>
      <c r="H68" s="281"/>
      <c r="I68" s="281">
        <f t="shared" si="10"/>
        <v>3113</v>
      </c>
      <c r="J68" s="281"/>
      <c r="K68" s="281">
        <f t="shared" si="10"/>
        <v>2594</v>
      </c>
      <c r="L68" s="282"/>
      <c r="M68" s="273"/>
    </row>
    <row r="69" spans="1:13" ht="11.25" customHeight="1">
      <c r="A69" s="303" t="s">
        <v>260</v>
      </c>
      <c r="C69" s="281">
        <v>835</v>
      </c>
      <c r="D69" s="282"/>
      <c r="E69" s="281">
        <v>661</v>
      </c>
      <c r="F69" s="282"/>
      <c r="G69" s="281">
        <v>176</v>
      </c>
      <c r="H69" s="282"/>
      <c r="I69" s="281">
        <v>196</v>
      </c>
      <c r="J69" s="282"/>
      <c r="K69" s="281">
        <v>188</v>
      </c>
      <c r="L69" s="282"/>
      <c r="M69" s="273"/>
    </row>
    <row r="70" spans="1:13" ht="11.25" customHeight="1">
      <c r="A70" s="303" t="s">
        <v>298</v>
      </c>
      <c r="C70" s="281">
        <v>4611</v>
      </c>
      <c r="D70" s="282"/>
      <c r="E70" s="281">
        <v>3791</v>
      </c>
      <c r="F70" s="282"/>
      <c r="G70" s="281">
        <v>2103</v>
      </c>
      <c r="H70" s="282"/>
      <c r="I70" s="281">
        <v>2917</v>
      </c>
      <c r="J70" s="282"/>
      <c r="K70" s="281">
        <v>2406</v>
      </c>
      <c r="L70" s="282"/>
      <c r="M70" s="273"/>
    </row>
    <row r="71" spans="1:13" ht="11.25" customHeight="1">
      <c r="A71" s="304" t="s">
        <v>562</v>
      </c>
      <c r="C71" s="281">
        <v>4521</v>
      </c>
      <c r="D71" s="282"/>
      <c r="E71" s="281">
        <v>3880</v>
      </c>
      <c r="F71" s="282"/>
      <c r="G71" s="281">
        <v>2850</v>
      </c>
      <c r="H71" s="282"/>
      <c r="I71" s="281">
        <v>4049</v>
      </c>
      <c r="J71" s="282"/>
      <c r="K71" s="281">
        <v>3399</v>
      </c>
      <c r="L71" s="282"/>
      <c r="M71" s="273"/>
    </row>
    <row r="72" spans="1:13" ht="11.25" customHeight="1">
      <c r="A72" s="304" t="s">
        <v>563</v>
      </c>
      <c r="C72" s="281">
        <v>2877</v>
      </c>
      <c r="D72" s="282"/>
      <c r="E72" s="281">
        <v>3172</v>
      </c>
      <c r="F72" s="282"/>
      <c r="G72" s="281">
        <v>2854</v>
      </c>
      <c r="H72" s="282"/>
      <c r="I72" s="281">
        <v>2991</v>
      </c>
      <c r="J72" s="282"/>
      <c r="K72" s="281">
        <v>2821</v>
      </c>
      <c r="L72" s="282"/>
      <c r="M72" s="273"/>
    </row>
    <row r="73" spans="1:13" ht="11.25" customHeight="1">
      <c r="A73" s="304" t="s">
        <v>564</v>
      </c>
      <c r="C73" s="281">
        <v>14841</v>
      </c>
      <c r="D73" s="282"/>
      <c r="E73" s="281">
        <v>14510</v>
      </c>
      <c r="F73" s="282"/>
      <c r="G73" s="281">
        <v>13441</v>
      </c>
      <c r="H73" s="282"/>
      <c r="I73" s="281">
        <v>15200</v>
      </c>
      <c r="J73" s="282"/>
      <c r="K73" s="281">
        <v>13391</v>
      </c>
      <c r="L73" s="282"/>
      <c r="M73" s="273"/>
    </row>
    <row r="74" spans="1:13" ht="11.25" customHeight="1">
      <c r="A74" s="304" t="s">
        <v>291</v>
      </c>
      <c r="C74" s="281">
        <v>1540</v>
      </c>
      <c r="D74" s="282"/>
      <c r="E74" s="281">
        <v>1700</v>
      </c>
      <c r="F74" s="282"/>
      <c r="G74" s="281">
        <v>1340</v>
      </c>
      <c r="H74" s="282"/>
      <c r="I74" s="281">
        <v>1620</v>
      </c>
      <c r="J74" s="282" t="s">
        <v>8</v>
      </c>
      <c r="K74" s="281">
        <v>1430</v>
      </c>
      <c r="L74" s="282"/>
      <c r="M74" s="273"/>
    </row>
    <row r="75" spans="1:13" ht="11.25" customHeight="1">
      <c r="A75" s="304" t="s">
        <v>565</v>
      </c>
      <c r="C75" s="281">
        <v>10536</v>
      </c>
      <c r="D75" s="282"/>
      <c r="E75" s="281">
        <v>9869</v>
      </c>
      <c r="F75" s="282"/>
      <c r="G75" s="281">
        <v>9971</v>
      </c>
      <c r="H75" s="282"/>
      <c r="I75" s="281">
        <v>10449</v>
      </c>
      <c r="J75" s="282"/>
      <c r="K75" s="281">
        <v>9067</v>
      </c>
      <c r="L75" s="282"/>
      <c r="M75" s="273"/>
    </row>
    <row r="76" spans="1:13" ht="11.25" customHeight="1">
      <c r="A76" s="304" t="s">
        <v>566</v>
      </c>
      <c r="C76" s="281">
        <v>20531</v>
      </c>
      <c r="D76" s="282"/>
      <c r="E76" s="281">
        <v>20056</v>
      </c>
      <c r="F76" s="282"/>
      <c r="G76" s="281">
        <v>20420</v>
      </c>
      <c r="H76" s="282" t="s">
        <v>8</v>
      </c>
      <c r="I76" s="281">
        <v>21170</v>
      </c>
      <c r="J76" s="282" t="s">
        <v>8</v>
      </c>
      <c r="K76" s="281">
        <v>6391</v>
      </c>
      <c r="L76" s="282"/>
      <c r="M76" s="273"/>
    </row>
    <row r="77" spans="1:13" ht="11.25" customHeight="1">
      <c r="A77" s="304" t="s">
        <v>567</v>
      </c>
      <c r="C77" s="281">
        <v>3784</v>
      </c>
      <c r="D77" s="282"/>
      <c r="E77" s="281">
        <v>3667</v>
      </c>
      <c r="F77" s="282"/>
      <c r="G77" s="281">
        <v>2961</v>
      </c>
      <c r="H77" s="282"/>
      <c r="I77" s="281">
        <v>2961</v>
      </c>
      <c r="J77" s="282" t="s">
        <v>8</v>
      </c>
      <c r="K77" s="281">
        <v>3446</v>
      </c>
      <c r="L77" s="282"/>
      <c r="M77" s="273"/>
    </row>
    <row r="78" spans="1:13" ht="11.25" customHeight="1">
      <c r="A78" s="304" t="s">
        <v>568</v>
      </c>
      <c r="C78" s="281">
        <v>5590</v>
      </c>
      <c r="D78" s="282"/>
      <c r="E78" s="281">
        <v>5622</v>
      </c>
      <c r="F78" s="282"/>
      <c r="G78" s="281">
        <v>5235</v>
      </c>
      <c r="H78" s="282"/>
      <c r="I78" s="281">
        <v>5805</v>
      </c>
      <c r="J78" s="282"/>
      <c r="K78" s="281">
        <v>4779</v>
      </c>
      <c r="L78" s="282"/>
      <c r="M78" s="273"/>
    </row>
    <row r="79" spans="1:13" ht="11.25" customHeight="1">
      <c r="A79" s="304" t="s">
        <v>210</v>
      </c>
      <c r="C79" s="281">
        <f>C80+C81</f>
        <v>27450</v>
      </c>
      <c r="D79" s="281"/>
      <c r="E79" s="281">
        <f t="shared" ref="E79:K79" si="11">E80+E81</f>
        <v>25540</v>
      </c>
      <c r="F79" s="281"/>
      <c r="G79" s="281">
        <f t="shared" si="11"/>
        <v>21550</v>
      </c>
      <c r="H79" s="281"/>
      <c r="I79" s="281">
        <f t="shared" si="11"/>
        <v>27210</v>
      </c>
      <c r="J79" s="281"/>
      <c r="K79" s="281">
        <f t="shared" si="11"/>
        <v>25040</v>
      </c>
      <c r="L79" s="282"/>
      <c r="M79" s="273"/>
    </row>
    <row r="80" spans="1:13" ht="11.25" customHeight="1">
      <c r="A80" s="303" t="s">
        <v>260</v>
      </c>
      <c r="C80" s="281">
        <v>3350</v>
      </c>
      <c r="D80" s="282"/>
      <c r="E80" s="281">
        <v>3240</v>
      </c>
      <c r="F80" s="282"/>
      <c r="G80" s="281">
        <v>3350</v>
      </c>
      <c r="H80" s="282"/>
      <c r="I80" s="281">
        <v>5010</v>
      </c>
      <c r="J80" s="282"/>
      <c r="K80" s="281">
        <v>5240</v>
      </c>
      <c r="L80" s="282"/>
      <c r="M80" s="273"/>
    </row>
    <row r="81" spans="1:14" ht="11.25" customHeight="1">
      <c r="A81" s="303" t="s">
        <v>298</v>
      </c>
      <c r="C81" s="281">
        <v>24100</v>
      </c>
      <c r="D81" s="282"/>
      <c r="E81" s="281">
        <v>22300</v>
      </c>
      <c r="F81" s="282"/>
      <c r="G81" s="281">
        <v>18200</v>
      </c>
      <c r="H81" s="282" t="s">
        <v>8</v>
      </c>
      <c r="I81" s="281">
        <v>22200</v>
      </c>
      <c r="J81" s="282"/>
      <c r="K81" s="281">
        <v>19800</v>
      </c>
      <c r="L81" s="282"/>
      <c r="M81" s="273"/>
    </row>
    <row r="82" spans="1:14" ht="11.25" customHeight="1">
      <c r="A82" s="304" t="s">
        <v>294</v>
      </c>
      <c r="C82" s="281">
        <v>990</v>
      </c>
      <c r="D82" s="282"/>
      <c r="E82" s="281">
        <v>385</v>
      </c>
      <c r="F82" s="282"/>
      <c r="G82" s="281">
        <v>285</v>
      </c>
      <c r="H82" s="282"/>
      <c r="I82" s="281">
        <v>289</v>
      </c>
      <c r="J82" s="282"/>
      <c r="K82" s="281">
        <v>277</v>
      </c>
      <c r="L82" s="282"/>
      <c r="M82" s="273"/>
    </row>
    <row r="83" spans="1:14" ht="11.25" customHeight="1">
      <c r="A83" s="304" t="s">
        <v>569</v>
      </c>
      <c r="C83" s="281">
        <v>8323</v>
      </c>
      <c r="D83" s="282"/>
      <c r="E83" s="281">
        <v>9836</v>
      </c>
      <c r="F83" s="282"/>
      <c r="G83" s="281">
        <v>12500</v>
      </c>
      <c r="H83" s="282"/>
      <c r="I83" s="281">
        <v>15000</v>
      </c>
      <c r="J83" s="282"/>
      <c r="K83" s="281">
        <v>12374</v>
      </c>
      <c r="L83" s="282"/>
      <c r="M83" s="273"/>
    </row>
    <row r="84" spans="1:14" ht="11.25" customHeight="1">
      <c r="A84" s="279" t="s">
        <v>611</v>
      </c>
      <c r="C84" s="306">
        <v>1370000</v>
      </c>
      <c r="D84" s="307"/>
      <c r="E84" s="306">
        <v>1390000</v>
      </c>
      <c r="F84" s="307"/>
      <c r="G84" s="306">
        <v>1440000</v>
      </c>
      <c r="H84" s="307" t="s">
        <v>8</v>
      </c>
      <c r="I84" s="306">
        <v>1460000</v>
      </c>
      <c r="J84" s="307"/>
      <c r="K84" s="306">
        <v>1420000</v>
      </c>
      <c r="L84" s="307"/>
      <c r="M84" s="273"/>
    </row>
    <row r="85" spans="1:14" ht="11.25" customHeight="1">
      <c r="A85" s="308" t="s">
        <v>297</v>
      </c>
      <c r="C85" s="281"/>
      <c r="D85" s="282"/>
      <c r="E85" s="281"/>
      <c r="F85" s="282"/>
      <c r="G85" s="281"/>
      <c r="H85" s="282"/>
      <c r="I85" s="281"/>
      <c r="J85" s="282"/>
      <c r="K85" s="281"/>
      <c r="L85" s="282"/>
      <c r="M85" s="273"/>
    </row>
    <row r="86" spans="1:14" ht="11.25" customHeight="1">
      <c r="A86" s="309" t="s">
        <v>260</v>
      </c>
      <c r="C86" s="281">
        <v>107000</v>
      </c>
      <c r="D86" s="282"/>
      <c r="E86" s="281">
        <v>111000</v>
      </c>
      <c r="F86" s="282"/>
      <c r="G86" s="281">
        <v>105000</v>
      </c>
      <c r="H86" s="282"/>
      <c r="I86" s="281">
        <v>118000</v>
      </c>
      <c r="J86" s="282" t="s">
        <v>8</v>
      </c>
      <c r="K86" s="281">
        <v>126000</v>
      </c>
      <c r="L86" s="282"/>
      <c r="M86" s="273"/>
    </row>
    <row r="87" spans="1:14" ht="11.25" customHeight="1">
      <c r="A87" s="309" t="s">
        <v>298</v>
      </c>
      <c r="C87" s="281">
        <v>1260000</v>
      </c>
      <c r="D87" s="282"/>
      <c r="E87" s="281">
        <v>1280000</v>
      </c>
      <c r="F87" s="282"/>
      <c r="G87" s="281">
        <v>1340000</v>
      </c>
      <c r="H87" s="282" t="s">
        <v>8</v>
      </c>
      <c r="I87" s="281">
        <v>1350000</v>
      </c>
      <c r="J87" s="282"/>
      <c r="K87" s="281">
        <v>1300000</v>
      </c>
      <c r="L87" s="282"/>
      <c r="M87" s="273"/>
    </row>
    <row r="88" spans="1:14" ht="11.25" customHeight="1">
      <c r="A88" s="437" t="s">
        <v>612</v>
      </c>
      <c r="B88" s="437"/>
      <c r="C88" s="437"/>
      <c r="D88" s="437"/>
      <c r="E88" s="437"/>
      <c r="F88" s="437"/>
      <c r="G88" s="437"/>
      <c r="H88" s="437"/>
      <c r="I88" s="437"/>
      <c r="J88" s="437"/>
      <c r="K88" s="437"/>
      <c r="L88" s="437"/>
      <c r="M88" s="310"/>
      <c r="N88" s="310"/>
    </row>
    <row r="89" spans="1:14" ht="22.5" customHeight="1">
      <c r="A89" s="435" t="s">
        <v>613</v>
      </c>
      <c r="B89" s="435"/>
      <c r="C89" s="435"/>
      <c r="D89" s="435"/>
      <c r="E89" s="435"/>
      <c r="F89" s="435"/>
      <c r="G89" s="435"/>
      <c r="H89" s="435"/>
      <c r="I89" s="435"/>
      <c r="J89" s="435"/>
      <c r="K89" s="435"/>
      <c r="L89" s="435"/>
      <c r="M89" s="310"/>
      <c r="N89" s="310"/>
    </row>
    <row r="90" spans="1:14" ht="22.5" customHeight="1">
      <c r="A90" s="435" t="s">
        <v>614</v>
      </c>
      <c r="B90" s="435"/>
      <c r="C90" s="435"/>
      <c r="D90" s="435"/>
      <c r="E90" s="435"/>
      <c r="F90" s="435"/>
      <c r="G90" s="435"/>
      <c r="H90" s="435"/>
      <c r="I90" s="435"/>
      <c r="J90" s="435"/>
      <c r="K90" s="435"/>
      <c r="L90" s="435"/>
      <c r="M90" s="310"/>
      <c r="N90" s="310"/>
    </row>
    <row r="91" spans="1:14" ht="22.5" customHeight="1">
      <c r="A91" s="435" t="s">
        <v>615</v>
      </c>
      <c r="B91" s="435"/>
      <c r="C91" s="435"/>
      <c r="D91" s="435"/>
      <c r="E91" s="435"/>
      <c r="F91" s="435"/>
      <c r="G91" s="435"/>
      <c r="H91" s="435"/>
      <c r="I91" s="435"/>
      <c r="J91" s="435"/>
      <c r="K91" s="435"/>
      <c r="L91" s="435"/>
      <c r="M91" s="310"/>
      <c r="N91" s="310"/>
    </row>
  </sheetData>
  <mergeCells count="9">
    <mergeCell ref="A89:L89"/>
    <mergeCell ref="A90:L90"/>
    <mergeCell ref="A91:L91"/>
    <mergeCell ref="A1:L1"/>
    <mergeCell ref="A2:L2"/>
    <mergeCell ref="A3:L3"/>
    <mergeCell ref="A4:L4"/>
    <mergeCell ref="A5:L5"/>
    <mergeCell ref="A88:L88"/>
  </mergeCells>
  <pageMargins left="0.5" right="0.5" top="0.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DBA7-FBCF-F642-A27D-35D8D07A8784}">
  <dimension ref="A1:L121"/>
  <sheetViews>
    <sheetView topLeftCell="A47" workbookViewId="0">
      <selection activeCell="A70" sqref="A70:K108"/>
    </sheetView>
  </sheetViews>
  <sheetFormatPr baseColWidth="10" defaultRowHeight="13"/>
  <cols>
    <col min="1" max="1" width="30.6640625" style="140" customWidth="1"/>
    <col min="2" max="2" width="2.1640625" style="140" customWidth="1"/>
    <col min="3" max="3" width="8" style="164" customWidth="1"/>
    <col min="4" max="4" width="2.1640625" style="140" customWidth="1"/>
    <col min="5" max="5" width="8" style="164" customWidth="1"/>
    <col min="6" max="6" width="2.1640625" style="140" customWidth="1"/>
    <col min="7" max="7" width="8" style="164" customWidth="1"/>
    <col min="8" max="8" width="2.1640625" style="140" customWidth="1"/>
    <col min="9" max="9" width="8" style="164" customWidth="1"/>
    <col min="10" max="10" width="2.1640625" style="140" customWidth="1"/>
    <col min="11" max="11" width="8" style="164" customWidth="1"/>
    <col min="12" max="12" width="2.1640625" style="140" customWidth="1"/>
    <col min="13" max="256" width="8.83203125" style="140" customWidth="1"/>
    <col min="257" max="257" width="30.6640625" style="140" customWidth="1"/>
    <col min="258" max="258" width="2.1640625" style="140" customWidth="1"/>
    <col min="259" max="259" width="8" style="140" customWidth="1"/>
    <col min="260" max="260" width="2.1640625" style="140" customWidth="1"/>
    <col min="261" max="261" width="8" style="140" customWidth="1"/>
    <col min="262" max="262" width="2.1640625" style="140" customWidth="1"/>
    <col min="263" max="263" width="8" style="140" customWidth="1"/>
    <col min="264" max="264" width="2.1640625" style="140" customWidth="1"/>
    <col min="265" max="265" width="8" style="140" customWidth="1"/>
    <col min="266" max="266" width="2.1640625" style="140" customWidth="1"/>
    <col min="267" max="267" width="8" style="140" customWidth="1"/>
    <col min="268" max="268" width="2.1640625" style="140" customWidth="1"/>
    <col min="269" max="512" width="8.83203125" style="140" customWidth="1"/>
    <col min="513" max="513" width="30.6640625" style="140" customWidth="1"/>
    <col min="514" max="514" width="2.1640625" style="140" customWidth="1"/>
    <col min="515" max="515" width="8" style="140" customWidth="1"/>
    <col min="516" max="516" width="2.1640625" style="140" customWidth="1"/>
    <col min="517" max="517" width="8" style="140" customWidth="1"/>
    <col min="518" max="518" width="2.1640625" style="140" customWidth="1"/>
    <col min="519" max="519" width="8" style="140" customWidth="1"/>
    <col min="520" max="520" width="2.1640625" style="140" customWidth="1"/>
    <col min="521" max="521" width="8" style="140" customWidth="1"/>
    <col min="522" max="522" width="2.1640625" style="140" customWidth="1"/>
    <col min="523" max="523" width="8" style="140" customWidth="1"/>
    <col min="524" max="524" width="2.1640625" style="140" customWidth="1"/>
    <col min="525" max="768" width="8.83203125" style="140" customWidth="1"/>
    <col min="769" max="769" width="30.6640625" style="140" customWidth="1"/>
    <col min="770" max="770" width="2.1640625" style="140" customWidth="1"/>
    <col min="771" max="771" width="8" style="140" customWidth="1"/>
    <col min="772" max="772" width="2.1640625" style="140" customWidth="1"/>
    <col min="773" max="773" width="8" style="140" customWidth="1"/>
    <col min="774" max="774" width="2.1640625" style="140" customWidth="1"/>
    <col min="775" max="775" width="8" style="140" customWidth="1"/>
    <col min="776" max="776" width="2.1640625" style="140" customWidth="1"/>
    <col min="777" max="777" width="8" style="140" customWidth="1"/>
    <col min="778" max="778" width="2.1640625" style="140" customWidth="1"/>
    <col min="779" max="779" width="8" style="140" customWidth="1"/>
    <col min="780" max="780" width="2.1640625" style="140" customWidth="1"/>
    <col min="781" max="1024" width="8.83203125" style="140" customWidth="1"/>
    <col min="1025" max="1025" width="30.6640625" style="140" customWidth="1"/>
    <col min="1026" max="1026" width="2.1640625" style="140" customWidth="1"/>
    <col min="1027" max="1027" width="8" style="140" customWidth="1"/>
    <col min="1028" max="1028" width="2.1640625" style="140" customWidth="1"/>
    <col min="1029" max="1029" width="8" style="140" customWidth="1"/>
    <col min="1030" max="1030" width="2.1640625" style="140" customWidth="1"/>
    <col min="1031" max="1031" width="8" style="140" customWidth="1"/>
    <col min="1032" max="1032" width="2.1640625" style="140" customWidth="1"/>
    <col min="1033" max="1033" width="8" style="140" customWidth="1"/>
    <col min="1034" max="1034" width="2.1640625" style="140" customWidth="1"/>
    <col min="1035" max="1035" width="8" style="140" customWidth="1"/>
    <col min="1036" max="1036" width="2.1640625" style="140" customWidth="1"/>
    <col min="1037" max="1280" width="8.83203125" style="140" customWidth="1"/>
    <col min="1281" max="1281" width="30.6640625" style="140" customWidth="1"/>
    <col min="1282" max="1282" width="2.1640625" style="140" customWidth="1"/>
    <col min="1283" max="1283" width="8" style="140" customWidth="1"/>
    <col min="1284" max="1284" width="2.1640625" style="140" customWidth="1"/>
    <col min="1285" max="1285" width="8" style="140" customWidth="1"/>
    <col min="1286" max="1286" width="2.1640625" style="140" customWidth="1"/>
    <col min="1287" max="1287" width="8" style="140" customWidth="1"/>
    <col min="1288" max="1288" width="2.1640625" style="140" customWidth="1"/>
    <col min="1289" max="1289" width="8" style="140" customWidth="1"/>
    <col min="1290" max="1290" width="2.1640625" style="140" customWidth="1"/>
    <col min="1291" max="1291" width="8" style="140" customWidth="1"/>
    <col min="1292" max="1292" width="2.1640625" style="140" customWidth="1"/>
    <col min="1293" max="1536" width="8.83203125" style="140" customWidth="1"/>
    <col min="1537" max="1537" width="30.6640625" style="140" customWidth="1"/>
    <col min="1538" max="1538" width="2.1640625" style="140" customWidth="1"/>
    <col min="1539" max="1539" width="8" style="140" customWidth="1"/>
    <col min="1540" max="1540" width="2.1640625" style="140" customWidth="1"/>
    <col min="1541" max="1541" width="8" style="140" customWidth="1"/>
    <col min="1542" max="1542" width="2.1640625" style="140" customWidth="1"/>
    <col min="1543" max="1543" width="8" style="140" customWidth="1"/>
    <col min="1544" max="1544" width="2.1640625" style="140" customWidth="1"/>
    <col min="1545" max="1545" width="8" style="140" customWidth="1"/>
    <col min="1546" max="1546" width="2.1640625" style="140" customWidth="1"/>
    <col min="1547" max="1547" width="8" style="140" customWidth="1"/>
    <col min="1548" max="1548" width="2.1640625" style="140" customWidth="1"/>
    <col min="1549" max="1792" width="8.83203125" style="140" customWidth="1"/>
    <col min="1793" max="1793" width="30.6640625" style="140" customWidth="1"/>
    <col min="1794" max="1794" width="2.1640625" style="140" customWidth="1"/>
    <col min="1795" max="1795" width="8" style="140" customWidth="1"/>
    <col min="1796" max="1796" width="2.1640625" style="140" customWidth="1"/>
    <col min="1797" max="1797" width="8" style="140" customWidth="1"/>
    <col min="1798" max="1798" width="2.1640625" style="140" customWidth="1"/>
    <col min="1799" max="1799" width="8" style="140" customWidth="1"/>
    <col min="1800" max="1800" width="2.1640625" style="140" customWidth="1"/>
    <col min="1801" max="1801" width="8" style="140" customWidth="1"/>
    <col min="1802" max="1802" width="2.1640625" style="140" customWidth="1"/>
    <col min="1803" max="1803" width="8" style="140" customWidth="1"/>
    <col min="1804" max="1804" width="2.1640625" style="140" customWidth="1"/>
    <col min="1805" max="2048" width="8.83203125" style="140" customWidth="1"/>
    <col min="2049" max="2049" width="30.6640625" style="140" customWidth="1"/>
    <col min="2050" max="2050" width="2.1640625" style="140" customWidth="1"/>
    <col min="2051" max="2051" width="8" style="140" customWidth="1"/>
    <col min="2052" max="2052" width="2.1640625" style="140" customWidth="1"/>
    <col min="2053" max="2053" width="8" style="140" customWidth="1"/>
    <col min="2054" max="2054" width="2.1640625" style="140" customWidth="1"/>
    <col min="2055" max="2055" width="8" style="140" customWidth="1"/>
    <col min="2056" max="2056" width="2.1640625" style="140" customWidth="1"/>
    <col min="2057" max="2057" width="8" style="140" customWidth="1"/>
    <col min="2058" max="2058" width="2.1640625" style="140" customWidth="1"/>
    <col min="2059" max="2059" width="8" style="140" customWidth="1"/>
    <col min="2060" max="2060" width="2.1640625" style="140" customWidth="1"/>
    <col min="2061" max="2304" width="8.83203125" style="140" customWidth="1"/>
    <col min="2305" max="2305" width="30.6640625" style="140" customWidth="1"/>
    <col min="2306" max="2306" width="2.1640625" style="140" customWidth="1"/>
    <col min="2307" max="2307" width="8" style="140" customWidth="1"/>
    <col min="2308" max="2308" width="2.1640625" style="140" customWidth="1"/>
    <col min="2309" max="2309" width="8" style="140" customWidth="1"/>
    <col min="2310" max="2310" width="2.1640625" style="140" customWidth="1"/>
    <col min="2311" max="2311" width="8" style="140" customWidth="1"/>
    <col min="2312" max="2312" width="2.1640625" style="140" customWidth="1"/>
    <col min="2313" max="2313" width="8" style="140" customWidth="1"/>
    <col min="2314" max="2314" width="2.1640625" style="140" customWidth="1"/>
    <col min="2315" max="2315" width="8" style="140" customWidth="1"/>
    <col min="2316" max="2316" width="2.1640625" style="140" customWidth="1"/>
    <col min="2317" max="2560" width="8.83203125" style="140" customWidth="1"/>
    <col min="2561" max="2561" width="30.6640625" style="140" customWidth="1"/>
    <col min="2562" max="2562" width="2.1640625" style="140" customWidth="1"/>
    <col min="2563" max="2563" width="8" style="140" customWidth="1"/>
    <col min="2564" max="2564" width="2.1640625" style="140" customWidth="1"/>
    <col min="2565" max="2565" width="8" style="140" customWidth="1"/>
    <col min="2566" max="2566" width="2.1640625" style="140" customWidth="1"/>
    <col min="2567" max="2567" width="8" style="140" customWidth="1"/>
    <col min="2568" max="2568" width="2.1640625" style="140" customWidth="1"/>
    <col min="2569" max="2569" width="8" style="140" customWidth="1"/>
    <col min="2570" max="2570" width="2.1640625" style="140" customWidth="1"/>
    <col min="2571" max="2571" width="8" style="140" customWidth="1"/>
    <col min="2572" max="2572" width="2.1640625" style="140" customWidth="1"/>
    <col min="2573" max="2816" width="8.83203125" style="140" customWidth="1"/>
    <col min="2817" max="2817" width="30.6640625" style="140" customWidth="1"/>
    <col min="2818" max="2818" width="2.1640625" style="140" customWidth="1"/>
    <col min="2819" max="2819" width="8" style="140" customWidth="1"/>
    <col min="2820" max="2820" width="2.1640625" style="140" customWidth="1"/>
    <col min="2821" max="2821" width="8" style="140" customWidth="1"/>
    <col min="2822" max="2822" width="2.1640625" style="140" customWidth="1"/>
    <col min="2823" max="2823" width="8" style="140" customWidth="1"/>
    <col min="2824" max="2824" width="2.1640625" style="140" customWidth="1"/>
    <col min="2825" max="2825" width="8" style="140" customWidth="1"/>
    <col min="2826" max="2826" width="2.1640625" style="140" customWidth="1"/>
    <col min="2827" max="2827" width="8" style="140" customWidth="1"/>
    <col min="2828" max="2828" width="2.1640625" style="140" customWidth="1"/>
    <col min="2829" max="3072" width="8.83203125" style="140" customWidth="1"/>
    <col min="3073" max="3073" width="30.6640625" style="140" customWidth="1"/>
    <col min="3074" max="3074" width="2.1640625" style="140" customWidth="1"/>
    <col min="3075" max="3075" width="8" style="140" customWidth="1"/>
    <col min="3076" max="3076" width="2.1640625" style="140" customWidth="1"/>
    <col min="3077" max="3077" width="8" style="140" customWidth="1"/>
    <col min="3078" max="3078" width="2.1640625" style="140" customWidth="1"/>
    <col min="3079" max="3079" width="8" style="140" customWidth="1"/>
    <col min="3080" max="3080" width="2.1640625" style="140" customWidth="1"/>
    <col min="3081" max="3081" width="8" style="140" customWidth="1"/>
    <col min="3082" max="3082" width="2.1640625" style="140" customWidth="1"/>
    <col min="3083" max="3083" width="8" style="140" customWidth="1"/>
    <col min="3084" max="3084" width="2.1640625" style="140" customWidth="1"/>
    <col min="3085" max="3328" width="8.83203125" style="140" customWidth="1"/>
    <col min="3329" max="3329" width="30.6640625" style="140" customWidth="1"/>
    <col min="3330" max="3330" width="2.1640625" style="140" customWidth="1"/>
    <col min="3331" max="3331" width="8" style="140" customWidth="1"/>
    <col min="3332" max="3332" width="2.1640625" style="140" customWidth="1"/>
    <col min="3333" max="3333" width="8" style="140" customWidth="1"/>
    <col min="3334" max="3334" width="2.1640625" style="140" customWidth="1"/>
    <col min="3335" max="3335" width="8" style="140" customWidth="1"/>
    <col min="3336" max="3336" width="2.1640625" style="140" customWidth="1"/>
    <col min="3337" max="3337" width="8" style="140" customWidth="1"/>
    <col min="3338" max="3338" width="2.1640625" style="140" customWidth="1"/>
    <col min="3339" max="3339" width="8" style="140" customWidth="1"/>
    <col min="3340" max="3340" width="2.1640625" style="140" customWidth="1"/>
    <col min="3341" max="3584" width="8.83203125" style="140" customWidth="1"/>
    <col min="3585" max="3585" width="30.6640625" style="140" customWidth="1"/>
    <col min="3586" max="3586" width="2.1640625" style="140" customWidth="1"/>
    <col min="3587" max="3587" width="8" style="140" customWidth="1"/>
    <col min="3588" max="3588" width="2.1640625" style="140" customWidth="1"/>
    <col min="3589" max="3589" width="8" style="140" customWidth="1"/>
    <col min="3590" max="3590" width="2.1640625" style="140" customWidth="1"/>
    <col min="3591" max="3591" width="8" style="140" customWidth="1"/>
    <col min="3592" max="3592" width="2.1640625" style="140" customWidth="1"/>
    <col min="3593" max="3593" width="8" style="140" customWidth="1"/>
    <col min="3594" max="3594" width="2.1640625" style="140" customWidth="1"/>
    <col min="3595" max="3595" width="8" style="140" customWidth="1"/>
    <col min="3596" max="3596" width="2.1640625" style="140" customWidth="1"/>
    <col min="3597" max="3840" width="8.83203125" style="140" customWidth="1"/>
    <col min="3841" max="3841" width="30.6640625" style="140" customWidth="1"/>
    <col min="3842" max="3842" width="2.1640625" style="140" customWidth="1"/>
    <col min="3843" max="3843" width="8" style="140" customWidth="1"/>
    <col min="3844" max="3844" width="2.1640625" style="140" customWidth="1"/>
    <col min="3845" max="3845" width="8" style="140" customWidth="1"/>
    <col min="3846" max="3846" width="2.1640625" style="140" customWidth="1"/>
    <col min="3847" max="3847" width="8" style="140" customWidth="1"/>
    <col min="3848" max="3848" width="2.1640625" style="140" customWidth="1"/>
    <col min="3849" max="3849" width="8" style="140" customWidth="1"/>
    <col min="3850" max="3850" width="2.1640625" style="140" customWidth="1"/>
    <col min="3851" max="3851" width="8" style="140" customWidth="1"/>
    <col min="3852" max="3852" width="2.1640625" style="140" customWidth="1"/>
    <col min="3853" max="4096" width="8.83203125" style="140" customWidth="1"/>
    <col min="4097" max="4097" width="30.6640625" style="140" customWidth="1"/>
    <col min="4098" max="4098" width="2.1640625" style="140" customWidth="1"/>
    <col min="4099" max="4099" width="8" style="140" customWidth="1"/>
    <col min="4100" max="4100" width="2.1640625" style="140" customWidth="1"/>
    <col min="4101" max="4101" width="8" style="140" customWidth="1"/>
    <col min="4102" max="4102" width="2.1640625" style="140" customWidth="1"/>
    <col min="4103" max="4103" width="8" style="140" customWidth="1"/>
    <col min="4104" max="4104" width="2.1640625" style="140" customWidth="1"/>
    <col min="4105" max="4105" width="8" style="140" customWidth="1"/>
    <col min="4106" max="4106" width="2.1640625" style="140" customWidth="1"/>
    <col min="4107" max="4107" width="8" style="140" customWidth="1"/>
    <col min="4108" max="4108" width="2.1640625" style="140" customWidth="1"/>
    <col min="4109" max="4352" width="8.83203125" style="140" customWidth="1"/>
    <col min="4353" max="4353" width="30.6640625" style="140" customWidth="1"/>
    <col min="4354" max="4354" width="2.1640625" style="140" customWidth="1"/>
    <col min="4355" max="4355" width="8" style="140" customWidth="1"/>
    <col min="4356" max="4356" width="2.1640625" style="140" customWidth="1"/>
    <col min="4357" max="4357" width="8" style="140" customWidth="1"/>
    <col min="4358" max="4358" width="2.1640625" style="140" customWidth="1"/>
    <col min="4359" max="4359" width="8" style="140" customWidth="1"/>
    <col min="4360" max="4360" width="2.1640625" style="140" customWidth="1"/>
    <col min="4361" max="4361" width="8" style="140" customWidth="1"/>
    <col min="4362" max="4362" width="2.1640625" style="140" customWidth="1"/>
    <col min="4363" max="4363" width="8" style="140" customWidth="1"/>
    <col min="4364" max="4364" width="2.1640625" style="140" customWidth="1"/>
    <col min="4365" max="4608" width="8.83203125" style="140" customWidth="1"/>
    <col min="4609" max="4609" width="30.6640625" style="140" customWidth="1"/>
    <col min="4610" max="4610" width="2.1640625" style="140" customWidth="1"/>
    <col min="4611" max="4611" width="8" style="140" customWidth="1"/>
    <col min="4612" max="4612" width="2.1640625" style="140" customWidth="1"/>
    <col min="4613" max="4613" width="8" style="140" customWidth="1"/>
    <col min="4614" max="4614" width="2.1640625" style="140" customWidth="1"/>
    <col min="4615" max="4615" width="8" style="140" customWidth="1"/>
    <col min="4616" max="4616" width="2.1640625" style="140" customWidth="1"/>
    <col min="4617" max="4617" width="8" style="140" customWidth="1"/>
    <col min="4618" max="4618" width="2.1640625" style="140" customWidth="1"/>
    <col min="4619" max="4619" width="8" style="140" customWidth="1"/>
    <col min="4620" max="4620" width="2.1640625" style="140" customWidth="1"/>
    <col min="4621" max="4864" width="8.83203125" style="140" customWidth="1"/>
    <col min="4865" max="4865" width="30.6640625" style="140" customWidth="1"/>
    <col min="4866" max="4866" width="2.1640625" style="140" customWidth="1"/>
    <col min="4867" max="4867" width="8" style="140" customWidth="1"/>
    <col min="4868" max="4868" width="2.1640625" style="140" customWidth="1"/>
    <col min="4869" max="4869" width="8" style="140" customWidth="1"/>
    <col min="4870" max="4870" width="2.1640625" style="140" customWidth="1"/>
    <col min="4871" max="4871" width="8" style="140" customWidth="1"/>
    <col min="4872" max="4872" width="2.1640625" style="140" customWidth="1"/>
    <col min="4873" max="4873" width="8" style="140" customWidth="1"/>
    <col min="4874" max="4874" width="2.1640625" style="140" customWidth="1"/>
    <col min="4875" max="4875" width="8" style="140" customWidth="1"/>
    <col min="4876" max="4876" width="2.1640625" style="140" customWidth="1"/>
    <col min="4877" max="5120" width="8.83203125" style="140" customWidth="1"/>
    <col min="5121" max="5121" width="30.6640625" style="140" customWidth="1"/>
    <col min="5122" max="5122" width="2.1640625" style="140" customWidth="1"/>
    <col min="5123" max="5123" width="8" style="140" customWidth="1"/>
    <col min="5124" max="5124" width="2.1640625" style="140" customWidth="1"/>
    <col min="5125" max="5125" width="8" style="140" customWidth="1"/>
    <col min="5126" max="5126" width="2.1640625" style="140" customWidth="1"/>
    <col min="5127" max="5127" width="8" style="140" customWidth="1"/>
    <col min="5128" max="5128" width="2.1640625" style="140" customWidth="1"/>
    <col min="5129" max="5129" width="8" style="140" customWidth="1"/>
    <col min="5130" max="5130" width="2.1640625" style="140" customWidth="1"/>
    <col min="5131" max="5131" width="8" style="140" customWidth="1"/>
    <col min="5132" max="5132" width="2.1640625" style="140" customWidth="1"/>
    <col min="5133" max="5376" width="8.83203125" style="140" customWidth="1"/>
    <col min="5377" max="5377" width="30.6640625" style="140" customWidth="1"/>
    <col min="5378" max="5378" width="2.1640625" style="140" customWidth="1"/>
    <col min="5379" max="5379" width="8" style="140" customWidth="1"/>
    <col min="5380" max="5380" width="2.1640625" style="140" customWidth="1"/>
    <col min="5381" max="5381" width="8" style="140" customWidth="1"/>
    <col min="5382" max="5382" width="2.1640625" style="140" customWidth="1"/>
    <col min="5383" max="5383" width="8" style="140" customWidth="1"/>
    <col min="5384" max="5384" width="2.1640625" style="140" customWidth="1"/>
    <col min="5385" max="5385" width="8" style="140" customWidth="1"/>
    <col min="5386" max="5386" width="2.1640625" style="140" customWidth="1"/>
    <col min="5387" max="5387" width="8" style="140" customWidth="1"/>
    <col min="5388" max="5388" width="2.1640625" style="140" customWidth="1"/>
    <col min="5389" max="5632" width="8.83203125" style="140" customWidth="1"/>
    <col min="5633" max="5633" width="30.6640625" style="140" customWidth="1"/>
    <col min="5634" max="5634" width="2.1640625" style="140" customWidth="1"/>
    <col min="5635" max="5635" width="8" style="140" customWidth="1"/>
    <col min="5636" max="5636" width="2.1640625" style="140" customWidth="1"/>
    <col min="5637" max="5637" width="8" style="140" customWidth="1"/>
    <col min="5638" max="5638" width="2.1640625" style="140" customWidth="1"/>
    <col min="5639" max="5639" width="8" style="140" customWidth="1"/>
    <col min="5640" max="5640" width="2.1640625" style="140" customWidth="1"/>
    <col min="5641" max="5641" width="8" style="140" customWidth="1"/>
    <col min="5642" max="5642" width="2.1640625" style="140" customWidth="1"/>
    <col min="5643" max="5643" width="8" style="140" customWidth="1"/>
    <col min="5644" max="5644" width="2.1640625" style="140" customWidth="1"/>
    <col min="5645" max="5888" width="8.83203125" style="140" customWidth="1"/>
    <col min="5889" max="5889" width="30.6640625" style="140" customWidth="1"/>
    <col min="5890" max="5890" width="2.1640625" style="140" customWidth="1"/>
    <col min="5891" max="5891" width="8" style="140" customWidth="1"/>
    <col min="5892" max="5892" width="2.1640625" style="140" customWidth="1"/>
    <col min="5893" max="5893" width="8" style="140" customWidth="1"/>
    <col min="5894" max="5894" width="2.1640625" style="140" customWidth="1"/>
    <col min="5895" max="5895" width="8" style="140" customWidth="1"/>
    <col min="5896" max="5896" width="2.1640625" style="140" customWidth="1"/>
    <col min="5897" max="5897" width="8" style="140" customWidth="1"/>
    <col min="5898" max="5898" width="2.1640625" style="140" customWidth="1"/>
    <col min="5899" max="5899" width="8" style="140" customWidth="1"/>
    <col min="5900" max="5900" width="2.1640625" style="140" customWidth="1"/>
    <col min="5901" max="6144" width="8.83203125" style="140" customWidth="1"/>
    <col min="6145" max="6145" width="30.6640625" style="140" customWidth="1"/>
    <col min="6146" max="6146" width="2.1640625" style="140" customWidth="1"/>
    <col min="6147" max="6147" width="8" style="140" customWidth="1"/>
    <col min="6148" max="6148" width="2.1640625" style="140" customWidth="1"/>
    <col min="6149" max="6149" width="8" style="140" customWidth="1"/>
    <col min="6150" max="6150" width="2.1640625" style="140" customWidth="1"/>
    <col min="6151" max="6151" width="8" style="140" customWidth="1"/>
    <col min="6152" max="6152" width="2.1640625" style="140" customWidth="1"/>
    <col min="6153" max="6153" width="8" style="140" customWidth="1"/>
    <col min="6154" max="6154" width="2.1640625" style="140" customWidth="1"/>
    <col min="6155" max="6155" width="8" style="140" customWidth="1"/>
    <col min="6156" max="6156" width="2.1640625" style="140" customWidth="1"/>
    <col min="6157" max="6400" width="8.83203125" style="140" customWidth="1"/>
    <col min="6401" max="6401" width="30.6640625" style="140" customWidth="1"/>
    <col min="6402" max="6402" width="2.1640625" style="140" customWidth="1"/>
    <col min="6403" max="6403" width="8" style="140" customWidth="1"/>
    <col min="6404" max="6404" width="2.1640625" style="140" customWidth="1"/>
    <col min="6405" max="6405" width="8" style="140" customWidth="1"/>
    <col min="6406" max="6406" width="2.1640625" style="140" customWidth="1"/>
    <col min="6407" max="6407" width="8" style="140" customWidth="1"/>
    <col min="6408" max="6408" width="2.1640625" style="140" customWidth="1"/>
    <col min="6409" max="6409" width="8" style="140" customWidth="1"/>
    <col min="6410" max="6410" width="2.1640625" style="140" customWidth="1"/>
    <col min="6411" max="6411" width="8" style="140" customWidth="1"/>
    <col min="6412" max="6412" width="2.1640625" style="140" customWidth="1"/>
    <col min="6413" max="6656" width="8.83203125" style="140" customWidth="1"/>
    <col min="6657" max="6657" width="30.6640625" style="140" customWidth="1"/>
    <col min="6658" max="6658" width="2.1640625" style="140" customWidth="1"/>
    <col min="6659" max="6659" width="8" style="140" customWidth="1"/>
    <col min="6660" max="6660" width="2.1640625" style="140" customWidth="1"/>
    <col min="6661" max="6661" width="8" style="140" customWidth="1"/>
    <col min="6662" max="6662" width="2.1640625" style="140" customWidth="1"/>
    <col min="6663" max="6663" width="8" style="140" customWidth="1"/>
    <col min="6664" max="6664" width="2.1640625" style="140" customWidth="1"/>
    <col min="6665" max="6665" width="8" style="140" customWidth="1"/>
    <col min="6666" max="6666" width="2.1640625" style="140" customWidth="1"/>
    <col min="6667" max="6667" width="8" style="140" customWidth="1"/>
    <col min="6668" max="6668" width="2.1640625" style="140" customWidth="1"/>
    <col min="6669" max="6912" width="8.83203125" style="140" customWidth="1"/>
    <col min="6913" max="6913" width="30.6640625" style="140" customWidth="1"/>
    <col min="6914" max="6914" width="2.1640625" style="140" customWidth="1"/>
    <col min="6915" max="6915" width="8" style="140" customWidth="1"/>
    <col min="6916" max="6916" width="2.1640625" style="140" customWidth="1"/>
    <col min="6917" max="6917" width="8" style="140" customWidth="1"/>
    <col min="6918" max="6918" width="2.1640625" style="140" customWidth="1"/>
    <col min="6919" max="6919" width="8" style="140" customWidth="1"/>
    <col min="6920" max="6920" width="2.1640625" style="140" customWidth="1"/>
    <col min="6921" max="6921" width="8" style="140" customWidth="1"/>
    <col min="6922" max="6922" width="2.1640625" style="140" customWidth="1"/>
    <col min="6923" max="6923" width="8" style="140" customWidth="1"/>
    <col min="6924" max="6924" width="2.1640625" style="140" customWidth="1"/>
    <col min="6925" max="7168" width="8.83203125" style="140" customWidth="1"/>
    <col min="7169" max="7169" width="30.6640625" style="140" customWidth="1"/>
    <col min="7170" max="7170" width="2.1640625" style="140" customWidth="1"/>
    <col min="7171" max="7171" width="8" style="140" customWidth="1"/>
    <col min="7172" max="7172" width="2.1640625" style="140" customWidth="1"/>
    <col min="7173" max="7173" width="8" style="140" customWidth="1"/>
    <col min="7174" max="7174" width="2.1640625" style="140" customWidth="1"/>
    <col min="7175" max="7175" width="8" style="140" customWidth="1"/>
    <col min="7176" max="7176" width="2.1640625" style="140" customWidth="1"/>
    <col min="7177" max="7177" width="8" style="140" customWidth="1"/>
    <col min="7178" max="7178" width="2.1640625" style="140" customWidth="1"/>
    <col min="7179" max="7179" width="8" style="140" customWidth="1"/>
    <col min="7180" max="7180" width="2.1640625" style="140" customWidth="1"/>
    <col min="7181" max="7424" width="8.83203125" style="140" customWidth="1"/>
    <col min="7425" max="7425" width="30.6640625" style="140" customWidth="1"/>
    <col min="7426" max="7426" width="2.1640625" style="140" customWidth="1"/>
    <col min="7427" max="7427" width="8" style="140" customWidth="1"/>
    <col min="7428" max="7428" width="2.1640625" style="140" customWidth="1"/>
    <col min="7429" max="7429" width="8" style="140" customWidth="1"/>
    <col min="7430" max="7430" width="2.1640625" style="140" customWidth="1"/>
    <col min="7431" max="7431" width="8" style="140" customWidth="1"/>
    <col min="7432" max="7432" width="2.1640625" style="140" customWidth="1"/>
    <col min="7433" max="7433" width="8" style="140" customWidth="1"/>
    <col min="7434" max="7434" width="2.1640625" style="140" customWidth="1"/>
    <col min="7435" max="7435" width="8" style="140" customWidth="1"/>
    <col min="7436" max="7436" width="2.1640625" style="140" customWidth="1"/>
    <col min="7437" max="7680" width="8.83203125" style="140" customWidth="1"/>
    <col min="7681" max="7681" width="30.6640625" style="140" customWidth="1"/>
    <col min="7682" max="7682" width="2.1640625" style="140" customWidth="1"/>
    <col min="7683" max="7683" width="8" style="140" customWidth="1"/>
    <col min="7684" max="7684" width="2.1640625" style="140" customWidth="1"/>
    <col min="7685" max="7685" width="8" style="140" customWidth="1"/>
    <col min="7686" max="7686" width="2.1640625" style="140" customWidth="1"/>
    <col min="7687" max="7687" width="8" style="140" customWidth="1"/>
    <col min="7688" max="7688" width="2.1640625" style="140" customWidth="1"/>
    <col min="7689" max="7689" width="8" style="140" customWidth="1"/>
    <col min="7690" max="7690" width="2.1640625" style="140" customWidth="1"/>
    <col min="7691" max="7691" width="8" style="140" customWidth="1"/>
    <col min="7692" max="7692" width="2.1640625" style="140" customWidth="1"/>
    <col min="7693" max="7936" width="8.83203125" style="140" customWidth="1"/>
    <col min="7937" max="7937" width="30.6640625" style="140" customWidth="1"/>
    <col min="7938" max="7938" width="2.1640625" style="140" customWidth="1"/>
    <col min="7939" max="7939" width="8" style="140" customWidth="1"/>
    <col min="7940" max="7940" width="2.1640625" style="140" customWidth="1"/>
    <col min="7941" max="7941" width="8" style="140" customWidth="1"/>
    <col min="7942" max="7942" width="2.1640625" style="140" customWidth="1"/>
    <col min="7943" max="7943" width="8" style="140" customWidth="1"/>
    <col min="7944" max="7944" width="2.1640625" style="140" customWidth="1"/>
    <col min="7945" max="7945" width="8" style="140" customWidth="1"/>
    <col min="7946" max="7946" width="2.1640625" style="140" customWidth="1"/>
    <col min="7947" max="7947" width="8" style="140" customWidth="1"/>
    <col min="7948" max="7948" width="2.1640625" style="140" customWidth="1"/>
    <col min="7949" max="8192" width="8.83203125" style="140" customWidth="1"/>
    <col min="8193" max="8193" width="30.6640625" style="140" customWidth="1"/>
    <col min="8194" max="8194" width="2.1640625" style="140" customWidth="1"/>
    <col min="8195" max="8195" width="8" style="140" customWidth="1"/>
    <col min="8196" max="8196" width="2.1640625" style="140" customWidth="1"/>
    <col min="8197" max="8197" width="8" style="140" customWidth="1"/>
    <col min="8198" max="8198" width="2.1640625" style="140" customWidth="1"/>
    <col min="8199" max="8199" width="8" style="140" customWidth="1"/>
    <col min="8200" max="8200" width="2.1640625" style="140" customWidth="1"/>
    <col min="8201" max="8201" width="8" style="140" customWidth="1"/>
    <col min="8202" max="8202" width="2.1640625" style="140" customWidth="1"/>
    <col min="8203" max="8203" width="8" style="140" customWidth="1"/>
    <col min="8204" max="8204" width="2.1640625" style="140" customWidth="1"/>
    <col min="8205" max="8448" width="8.83203125" style="140" customWidth="1"/>
    <col min="8449" max="8449" width="30.6640625" style="140" customWidth="1"/>
    <col min="8450" max="8450" width="2.1640625" style="140" customWidth="1"/>
    <col min="8451" max="8451" width="8" style="140" customWidth="1"/>
    <col min="8452" max="8452" width="2.1640625" style="140" customWidth="1"/>
    <col min="8453" max="8453" width="8" style="140" customWidth="1"/>
    <col min="8454" max="8454" width="2.1640625" style="140" customWidth="1"/>
    <col min="8455" max="8455" width="8" style="140" customWidth="1"/>
    <col min="8456" max="8456" width="2.1640625" style="140" customWidth="1"/>
    <col min="8457" max="8457" width="8" style="140" customWidth="1"/>
    <col min="8458" max="8458" width="2.1640625" style="140" customWidth="1"/>
    <col min="8459" max="8459" width="8" style="140" customWidth="1"/>
    <col min="8460" max="8460" width="2.1640625" style="140" customWidth="1"/>
    <col min="8461" max="8704" width="8.83203125" style="140" customWidth="1"/>
    <col min="8705" max="8705" width="30.6640625" style="140" customWidth="1"/>
    <col min="8706" max="8706" width="2.1640625" style="140" customWidth="1"/>
    <col min="8707" max="8707" width="8" style="140" customWidth="1"/>
    <col min="8708" max="8708" width="2.1640625" style="140" customWidth="1"/>
    <col min="8709" max="8709" width="8" style="140" customWidth="1"/>
    <col min="8710" max="8710" width="2.1640625" style="140" customWidth="1"/>
    <col min="8711" max="8711" width="8" style="140" customWidth="1"/>
    <col min="8712" max="8712" width="2.1640625" style="140" customWidth="1"/>
    <col min="8713" max="8713" width="8" style="140" customWidth="1"/>
    <col min="8714" max="8714" width="2.1640625" style="140" customWidth="1"/>
    <col min="8715" max="8715" width="8" style="140" customWidth="1"/>
    <col min="8716" max="8716" width="2.1640625" style="140" customWidth="1"/>
    <col min="8717" max="8960" width="8.83203125" style="140" customWidth="1"/>
    <col min="8961" max="8961" width="30.6640625" style="140" customWidth="1"/>
    <col min="8962" max="8962" width="2.1640625" style="140" customWidth="1"/>
    <col min="8963" max="8963" width="8" style="140" customWidth="1"/>
    <col min="8964" max="8964" width="2.1640625" style="140" customWidth="1"/>
    <col min="8965" max="8965" width="8" style="140" customWidth="1"/>
    <col min="8966" max="8966" width="2.1640625" style="140" customWidth="1"/>
    <col min="8967" max="8967" width="8" style="140" customWidth="1"/>
    <col min="8968" max="8968" width="2.1640625" style="140" customWidth="1"/>
    <col min="8969" max="8969" width="8" style="140" customWidth="1"/>
    <col min="8970" max="8970" width="2.1640625" style="140" customWidth="1"/>
    <col min="8971" max="8971" width="8" style="140" customWidth="1"/>
    <col min="8972" max="8972" width="2.1640625" style="140" customWidth="1"/>
    <col min="8973" max="9216" width="8.83203125" style="140" customWidth="1"/>
    <col min="9217" max="9217" width="30.6640625" style="140" customWidth="1"/>
    <col min="9218" max="9218" width="2.1640625" style="140" customWidth="1"/>
    <col min="9219" max="9219" width="8" style="140" customWidth="1"/>
    <col min="9220" max="9220" width="2.1640625" style="140" customWidth="1"/>
    <col min="9221" max="9221" width="8" style="140" customWidth="1"/>
    <col min="9222" max="9222" width="2.1640625" style="140" customWidth="1"/>
    <col min="9223" max="9223" width="8" style="140" customWidth="1"/>
    <col min="9224" max="9224" width="2.1640625" style="140" customWidth="1"/>
    <col min="9225" max="9225" width="8" style="140" customWidth="1"/>
    <col min="9226" max="9226" width="2.1640625" style="140" customWidth="1"/>
    <col min="9227" max="9227" width="8" style="140" customWidth="1"/>
    <col min="9228" max="9228" width="2.1640625" style="140" customWidth="1"/>
    <col min="9229" max="9472" width="8.83203125" style="140" customWidth="1"/>
    <col min="9473" max="9473" width="30.6640625" style="140" customWidth="1"/>
    <col min="9474" max="9474" width="2.1640625" style="140" customWidth="1"/>
    <col min="9475" max="9475" width="8" style="140" customWidth="1"/>
    <col min="9476" max="9476" width="2.1640625" style="140" customWidth="1"/>
    <col min="9477" max="9477" width="8" style="140" customWidth="1"/>
    <col min="9478" max="9478" width="2.1640625" style="140" customWidth="1"/>
    <col min="9479" max="9479" width="8" style="140" customWidth="1"/>
    <col min="9480" max="9480" width="2.1640625" style="140" customWidth="1"/>
    <col min="9481" max="9481" width="8" style="140" customWidth="1"/>
    <col min="9482" max="9482" width="2.1640625" style="140" customWidth="1"/>
    <col min="9483" max="9483" width="8" style="140" customWidth="1"/>
    <col min="9484" max="9484" width="2.1640625" style="140" customWidth="1"/>
    <col min="9485" max="9728" width="8.83203125" style="140" customWidth="1"/>
    <col min="9729" max="9729" width="30.6640625" style="140" customWidth="1"/>
    <col min="9730" max="9730" width="2.1640625" style="140" customWidth="1"/>
    <col min="9731" max="9731" width="8" style="140" customWidth="1"/>
    <col min="9732" max="9732" width="2.1640625" style="140" customWidth="1"/>
    <col min="9733" max="9733" width="8" style="140" customWidth="1"/>
    <col min="9734" max="9734" width="2.1640625" style="140" customWidth="1"/>
    <col min="9735" max="9735" width="8" style="140" customWidth="1"/>
    <col min="9736" max="9736" width="2.1640625" style="140" customWidth="1"/>
    <col min="9737" max="9737" width="8" style="140" customWidth="1"/>
    <col min="9738" max="9738" width="2.1640625" style="140" customWidth="1"/>
    <col min="9739" max="9739" width="8" style="140" customWidth="1"/>
    <col min="9740" max="9740" width="2.1640625" style="140" customWidth="1"/>
    <col min="9741" max="9984" width="8.83203125" style="140" customWidth="1"/>
    <col min="9985" max="9985" width="30.6640625" style="140" customWidth="1"/>
    <col min="9986" max="9986" width="2.1640625" style="140" customWidth="1"/>
    <col min="9987" max="9987" width="8" style="140" customWidth="1"/>
    <col min="9988" max="9988" width="2.1640625" style="140" customWidth="1"/>
    <col min="9989" max="9989" width="8" style="140" customWidth="1"/>
    <col min="9990" max="9990" width="2.1640625" style="140" customWidth="1"/>
    <col min="9991" max="9991" width="8" style="140" customWidth="1"/>
    <col min="9992" max="9992" width="2.1640625" style="140" customWidth="1"/>
    <col min="9993" max="9993" width="8" style="140" customWidth="1"/>
    <col min="9994" max="9994" width="2.1640625" style="140" customWidth="1"/>
    <col min="9995" max="9995" width="8" style="140" customWidth="1"/>
    <col min="9996" max="9996" width="2.1640625" style="140" customWidth="1"/>
    <col min="9997" max="10240" width="8.83203125" style="140" customWidth="1"/>
    <col min="10241" max="10241" width="30.6640625" style="140" customWidth="1"/>
    <col min="10242" max="10242" width="2.1640625" style="140" customWidth="1"/>
    <col min="10243" max="10243" width="8" style="140" customWidth="1"/>
    <col min="10244" max="10244" width="2.1640625" style="140" customWidth="1"/>
    <col min="10245" max="10245" width="8" style="140" customWidth="1"/>
    <col min="10246" max="10246" width="2.1640625" style="140" customWidth="1"/>
    <col min="10247" max="10247" width="8" style="140" customWidth="1"/>
    <col min="10248" max="10248" width="2.1640625" style="140" customWidth="1"/>
    <col min="10249" max="10249" width="8" style="140" customWidth="1"/>
    <col min="10250" max="10250" width="2.1640625" style="140" customWidth="1"/>
    <col min="10251" max="10251" width="8" style="140" customWidth="1"/>
    <col min="10252" max="10252" width="2.1640625" style="140" customWidth="1"/>
    <col min="10253" max="10496" width="8.83203125" style="140" customWidth="1"/>
    <col min="10497" max="10497" width="30.6640625" style="140" customWidth="1"/>
    <col min="10498" max="10498" width="2.1640625" style="140" customWidth="1"/>
    <col min="10499" max="10499" width="8" style="140" customWidth="1"/>
    <col min="10500" max="10500" width="2.1640625" style="140" customWidth="1"/>
    <col min="10501" max="10501" width="8" style="140" customWidth="1"/>
    <col min="10502" max="10502" width="2.1640625" style="140" customWidth="1"/>
    <col min="10503" max="10503" width="8" style="140" customWidth="1"/>
    <col min="10504" max="10504" width="2.1640625" style="140" customWidth="1"/>
    <col min="10505" max="10505" width="8" style="140" customWidth="1"/>
    <col min="10506" max="10506" width="2.1640625" style="140" customWidth="1"/>
    <col min="10507" max="10507" width="8" style="140" customWidth="1"/>
    <col min="10508" max="10508" width="2.1640625" style="140" customWidth="1"/>
    <col min="10509" max="10752" width="8.83203125" style="140" customWidth="1"/>
    <col min="10753" max="10753" width="30.6640625" style="140" customWidth="1"/>
    <col min="10754" max="10754" width="2.1640625" style="140" customWidth="1"/>
    <col min="10755" max="10755" width="8" style="140" customWidth="1"/>
    <col min="10756" max="10756" width="2.1640625" style="140" customWidth="1"/>
    <col min="10757" max="10757" width="8" style="140" customWidth="1"/>
    <col min="10758" max="10758" width="2.1640625" style="140" customWidth="1"/>
    <col min="10759" max="10759" width="8" style="140" customWidth="1"/>
    <col min="10760" max="10760" width="2.1640625" style="140" customWidth="1"/>
    <col min="10761" max="10761" width="8" style="140" customWidth="1"/>
    <col min="10762" max="10762" width="2.1640625" style="140" customWidth="1"/>
    <col min="10763" max="10763" width="8" style="140" customWidth="1"/>
    <col min="10764" max="10764" width="2.1640625" style="140" customWidth="1"/>
    <col min="10765" max="11008" width="8.83203125" style="140" customWidth="1"/>
    <col min="11009" max="11009" width="30.6640625" style="140" customWidth="1"/>
    <col min="11010" max="11010" width="2.1640625" style="140" customWidth="1"/>
    <col min="11011" max="11011" width="8" style="140" customWidth="1"/>
    <col min="11012" max="11012" width="2.1640625" style="140" customWidth="1"/>
    <col min="11013" max="11013" width="8" style="140" customWidth="1"/>
    <col min="11014" max="11014" width="2.1640625" style="140" customWidth="1"/>
    <col min="11015" max="11015" width="8" style="140" customWidth="1"/>
    <col min="11016" max="11016" width="2.1640625" style="140" customWidth="1"/>
    <col min="11017" max="11017" width="8" style="140" customWidth="1"/>
    <col min="11018" max="11018" width="2.1640625" style="140" customWidth="1"/>
    <col min="11019" max="11019" width="8" style="140" customWidth="1"/>
    <col min="11020" max="11020" width="2.1640625" style="140" customWidth="1"/>
    <col min="11021" max="11264" width="8.83203125" style="140" customWidth="1"/>
    <col min="11265" max="11265" width="30.6640625" style="140" customWidth="1"/>
    <col min="11266" max="11266" width="2.1640625" style="140" customWidth="1"/>
    <col min="11267" max="11267" width="8" style="140" customWidth="1"/>
    <col min="11268" max="11268" width="2.1640625" style="140" customWidth="1"/>
    <col min="11269" max="11269" width="8" style="140" customWidth="1"/>
    <col min="11270" max="11270" width="2.1640625" style="140" customWidth="1"/>
    <col min="11271" max="11271" width="8" style="140" customWidth="1"/>
    <col min="11272" max="11272" width="2.1640625" style="140" customWidth="1"/>
    <col min="11273" max="11273" width="8" style="140" customWidth="1"/>
    <col min="11274" max="11274" width="2.1640625" style="140" customWidth="1"/>
    <col min="11275" max="11275" width="8" style="140" customWidth="1"/>
    <col min="11276" max="11276" width="2.1640625" style="140" customWidth="1"/>
    <col min="11277" max="11520" width="8.83203125" style="140" customWidth="1"/>
    <col min="11521" max="11521" width="30.6640625" style="140" customWidth="1"/>
    <col min="11522" max="11522" width="2.1640625" style="140" customWidth="1"/>
    <col min="11523" max="11523" width="8" style="140" customWidth="1"/>
    <col min="11524" max="11524" width="2.1640625" style="140" customWidth="1"/>
    <col min="11525" max="11525" width="8" style="140" customWidth="1"/>
    <col min="11526" max="11526" width="2.1640625" style="140" customWidth="1"/>
    <col min="11527" max="11527" width="8" style="140" customWidth="1"/>
    <col min="11528" max="11528" width="2.1640625" style="140" customWidth="1"/>
    <col min="11529" max="11529" width="8" style="140" customWidth="1"/>
    <col min="11530" max="11530" width="2.1640625" style="140" customWidth="1"/>
    <col min="11531" max="11531" width="8" style="140" customWidth="1"/>
    <col min="11532" max="11532" width="2.1640625" style="140" customWidth="1"/>
    <col min="11533" max="11776" width="8.83203125" style="140" customWidth="1"/>
    <col min="11777" max="11777" width="30.6640625" style="140" customWidth="1"/>
    <col min="11778" max="11778" width="2.1640625" style="140" customWidth="1"/>
    <col min="11779" max="11779" width="8" style="140" customWidth="1"/>
    <col min="11780" max="11780" width="2.1640625" style="140" customWidth="1"/>
    <col min="11781" max="11781" width="8" style="140" customWidth="1"/>
    <col min="11782" max="11782" width="2.1640625" style="140" customWidth="1"/>
    <col min="11783" max="11783" width="8" style="140" customWidth="1"/>
    <col min="11784" max="11784" width="2.1640625" style="140" customWidth="1"/>
    <col min="11785" max="11785" width="8" style="140" customWidth="1"/>
    <col min="11786" max="11786" width="2.1640625" style="140" customWidth="1"/>
    <col min="11787" max="11787" width="8" style="140" customWidth="1"/>
    <col min="11788" max="11788" width="2.1640625" style="140" customWidth="1"/>
    <col min="11789" max="12032" width="8.83203125" style="140" customWidth="1"/>
    <col min="12033" max="12033" width="30.6640625" style="140" customWidth="1"/>
    <col min="12034" max="12034" width="2.1640625" style="140" customWidth="1"/>
    <col min="12035" max="12035" width="8" style="140" customWidth="1"/>
    <col min="12036" max="12036" width="2.1640625" style="140" customWidth="1"/>
    <col min="12037" max="12037" width="8" style="140" customWidth="1"/>
    <col min="12038" max="12038" width="2.1640625" style="140" customWidth="1"/>
    <col min="12039" max="12039" width="8" style="140" customWidth="1"/>
    <col min="12040" max="12040" width="2.1640625" style="140" customWidth="1"/>
    <col min="12041" max="12041" width="8" style="140" customWidth="1"/>
    <col min="12042" max="12042" width="2.1640625" style="140" customWidth="1"/>
    <col min="12043" max="12043" width="8" style="140" customWidth="1"/>
    <col min="12044" max="12044" width="2.1640625" style="140" customWidth="1"/>
    <col min="12045" max="12288" width="8.83203125" style="140" customWidth="1"/>
    <col min="12289" max="12289" width="30.6640625" style="140" customWidth="1"/>
    <col min="12290" max="12290" width="2.1640625" style="140" customWidth="1"/>
    <col min="12291" max="12291" width="8" style="140" customWidth="1"/>
    <col min="12292" max="12292" width="2.1640625" style="140" customWidth="1"/>
    <col min="12293" max="12293" width="8" style="140" customWidth="1"/>
    <col min="12294" max="12294" width="2.1640625" style="140" customWidth="1"/>
    <col min="12295" max="12295" width="8" style="140" customWidth="1"/>
    <col min="12296" max="12296" width="2.1640625" style="140" customWidth="1"/>
    <col min="12297" max="12297" width="8" style="140" customWidth="1"/>
    <col min="12298" max="12298" width="2.1640625" style="140" customWidth="1"/>
    <col min="12299" max="12299" width="8" style="140" customWidth="1"/>
    <col min="12300" max="12300" width="2.1640625" style="140" customWidth="1"/>
    <col min="12301" max="12544" width="8.83203125" style="140" customWidth="1"/>
    <col min="12545" max="12545" width="30.6640625" style="140" customWidth="1"/>
    <col min="12546" max="12546" width="2.1640625" style="140" customWidth="1"/>
    <col min="12547" max="12547" width="8" style="140" customWidth="1"/>
    <col min="12548" max="12548" width="2.1640625" style="140" customWidth="1"/>
    <col min="12549" max="12549" width="8" style="140" customWidth="1"/>
    <col min="12550" max="12550" width="2.1640625" style="140" customWidth="1"/>
    <col min="12551" max="12551" width="8" style="140" customWidth="1"/>
    <col min="12552" max="12552" width="2.1640625" style="140" customWidth="1"/>
    <col min="12553" max="12553" width="8" style="140" customWidth="1"/>
    <col min="12554" max="12554" width="2.1640625" style="140" customWidth="1"/>
    <col min="12555" max="12555" width="8" style="140" customWidth="1"/>
    <col min="12556" max="12556" width="2.1640625" style="140" customWidth="1"/>
    <col min="12557" max="12800" width="8.83203125" style="140" customWidth="1"/>
    <col min="12801" max="12801" width="30.6640625" style="140" customWidth="1"/>
    <col min="12802" max="12802" width="2.1640625" style="140" customWidth="1"/>
    <col min="12803" max="12803" width="8" style="140" customWidth="1"/>
    <col min="12804" max="12804" width="2.1640625" style="140" customWidth="1"/>
    <col min="12805" max="12805" width="8" style="140" customWidth="1"/>
    <col min="12806" max="12806" width="2.1640625" style="140" customWidth="1"/>
    <col min="12807" max="12807" width="8" style="140" customWidth="1"/>
    <col min="12808" max="12808" width="2.1640625" style="140" customWidth="1"/>
    <col min="12809" max="12809" width="8" style="140" customWidth="1"/>
    <col min="12810" max="12810" width="2.1640625" style="140" customWidth="1"/>
    <col min="12811" max="12811" width="8" style="140" customWidth="1"/>
    <col min="12812" max="12812" width="2.1640625" style="140" customWidth="1"/>
    <col min="12813" max="13056" width="8.83203125" style="140" customWidth="1"/>
    <col min="13057" max="13057" width="30.6640625" style="140" customWidth="1"/>
    <col min="13058" max="13058" width="2.1640625" style="140" customWidth="1"/>
    <col min="13059" max="13059" width="8" style="140" customWidth="1"/>
    <col min="13060" max="13060" width="2.1640625" style="140" customWidth="1"/>
    <col min="13061" max="13061" width="8" style="140" customWidth="1"/>
    <col min="13062" max="13062" width="2.1640625" style="140" customWidth="1"/>
    <col min="13063" max="13063" width="8" style="140" customWidth="1"/>
    <col min="13064" max="13064" width="2.1640625" style="140" customWidth="1"/>
    <col min="13065" max="13065" width="8" style="140" customWidth="1"/>
    <col min="13066" max="13066" width="2.1640625" style="140" customWidth="1"/>
    <col min="13067" max="13067" width="8" style="140" customWidth="1"/>
    <col min="13068" max="13068" width="2.1640625" style="140" customWidth="1"/>
    <col min="13069" max="13312" width="8.83203125" style="140" customWidth="1"/>
    <col min="13313" max="13313" width="30.6640625" style="140" customWidth="1"/>
    <col min="13314" max="13314" width="2.1640625" style="140" customWidth="1"/>
    <col min="13315" max="13315" width="8" style="140" customWidth="1"/>
    <col min="13316" max="13316" width="2.1640625" style="140" customWidth="1"/>
    <col min="13317" max="13317" width="8" style="140" customWidth="1"/>
    <col min="13318" max="13318" width="2.1640625" style="140" customWidth="1"/>
    <col min="13319" max="13319" width="8" style="140" customWidth="1"/>
    <col min="13320" max="13320" width="2.1640625" style="140" customWidth="1"/>
    <col min="13321" max="13321" width="8" style="140" customWidth="1"/>
    <col min="13322" max="13322" width="2.1640625" style="140" customWidth="1"/>
    <col min="13323" max="13323" width="8" style="140" customWidth="1"/>
    <col min="13324" max="13324" width="2.1640625" style="140" customWidth="1"/>
    <col min="13325" max="13568" width="8.83203125" style="140" customWidth="1"/>
    <col min="13569" max="13569" width="30.6640625" style="140" customWidth="1"/>
    <col min="13570" max="13570" width="2.1640625" style="140" customWidth="1"/>
    <col min="13571" max="13571" width="8" style="140" customWidth="1"/>
    <col min="13572" max="13572" width="2.1640625" style="140" customWidth="1"/>
    <col min="13573" max="13573" width="8" style="140" customWidth="1"/>
    <col min="13574" max="13574" width="2.1640625" style="140" customWidth="1"/>
    <col min="13575" max="13575" width="8" style="140" customWidth="1"/>
    <col min="13576" max="13576" width="2.1640625" style="140" customWidth="1"/>
    <col min="13577" max="13577" width="8" style="140" customWidth="1"/>
    <col min="13578" max="13578" width="2.1640625" style="140" customWidth="1"/>
    <col min="13579" max="13579" width="8" style="140" customWidth="1"/>
    <col min="13580" max="13580" width="2.1640625" style="140" customWidth="1"/>
    <col min="13581" max="13824" width="8.83203125" style="140" customWidth="1"/>
    <col min="13825" max="13825" width="30.6640625" style="140" customWidth="1"/>
    <col min="13826" max="13826" width="2.1640625" style="140" customWidth="1"/>
    <col min="13827" max="13827" width="8" style="140" customWidth="1"/>
    <col min="13828" max="13828" width="2.1640625" style="140" customWidth="1"/>
    <col min="13829" max="13829" width="8" style="140" customWidth="1"/>
    <col min="13830" max="13830" width="2.1640625" style="140" customWidth="1"/>
    <col min="13831" max="13831" width="8" style="140" customWidth="1"/>
    <col min="13832" max="13832" width="2.1640625" style="140" customWidth="1"/>
    <col min="13833" max="13833" width="8" style="140" customWidth="1"/>
    <col min="13834" max="13834" width="2.1640625" style="140" customWidth="1"/>
    <col min="13835" max="13835" width="8" style="140" customWidth="1"/>
    <col min="13836" max="13836" width="2.1640625" style="140" customWidth="1"/>
    <col min="13837" max="14080" width="8.83203125" style="140" customWidth="1"/>
    <col min="14081" max="14081" width="30.6640625" style="140" customWidth="1"/>
    <col min="14082" max="14082" width="2.1640625" style="140" customWidth="1"/>
    <col min="14083" max="14083" width="8" style="140" customWidth="1"/>
    <col min="14084" max="14084" width="2.1640625" style="140" customWidth="1"/>
    <col min="14085" max="14085" width="8" style="140" customWidth="1"/>
    <col min="14086" max="14086" width="2.1640625" style="140" customWidth="1"/>
    <col min="14087" max="14087" width="8" style="140" customWidth="1"/>
    <col min="14088" max="14088" width="2.1640625" style="140" customWidth="1"/>
    <col min="14089" max="14089" width="8" style="140" customWidth="1"/>
    <col min="14090" max="14090" width="2.1640625" style="140" customWidth="1"/>
    <col min="14091" max="14091" width="8" style="140" customWidth="1"/>
    <col min="14092" max="14092" width="2.1640625" style="140" customWidth="1"/>
    <col min="14093" max="14336" width="8.83203125" style="140" customWidth="1"/>
    <col min="14337" max="14337" width="30.6640625" style="140" customWidth="1"/>
    <col min="14338" max="14338" width="2.1640625" style="140" customWidth="1"/>
    <col min="14339" max="14339" width="8" style="140" customWidth="1"/>
    <col min="14340" max="14340" width="2.1640625" style="140" customWidth="1"/>
    <col min="14341" max="14341" width="8" style="140" customWidth="1"/>
    <col min="14342" max="14342" width="2.1640625" style="140" customWidth="1"/>
    <col min="14343" max="14343" width="8" style="140" customWidth="1"/>
    <col min="14344" max="14344" width="2.1640625" style="140" customWidth="1"/>
    <col min="14345" max="14345" width="8" style="140" customWidth="1"/>
    <col min="14346" max="14346" width="2.1640625" style="140" customWidth="1"/>
    <col min="14347" max="14347" width="8" style="140" customWidth="1"/>
    <col min="14348" max="14348" width="2.1640625" style="140" customWidth="1"/>
    <col min="14349" max="14592" width="8.83203125" style="140" customWidth="1"/>
    <col min="14593" max="14593" width="30.6640625" style="140" customWidth="1"/>
    <col min="14594" max="14594" width="2.1640625" style="140" customWidth="1"/>
    <col min="14595" max="14595" width="8" style="140" customWidth="1"/>
    <col min="14596" max="14596" width="2.1640625" style="140" customWidth="1"/>
    <col min="14597" max="14597" width="8" style="140" customWidth="1"/>
    <col min="14598" max="14598" width="2.1640625" style="140" customWidth="1"/>
    <col min="14599" max="14599" width="8" style="140" customWidth="1"/>
    <col min="14600" max="14600" width="2.1640625" style="140" customWidth="1"/>
    <col min="14601" max="14601" width="8" style="140" customWidth="1"/>
    <col min="14602" max="14602" width="2.1640625" style="140" customWidth="1"/>
    <col min="14603" max="14603" width="8" style="140" customWidth="1"/>
    <col min="14604" max="14604" width="2.1640625" style="140" customWidth="1"/>
    <col min="14605" max="14848" width="8.83203125" style="140" customWidth="1"/>
    <col min="14849" max="14849" width="30.6640625" style="140" customWidth="1"/>
    <col min="14850" max="14850" width="2.1640625" style="140" customWidth="1"/>
    <col min="14851" max="14851" width="8" style="140" customWidth="1"/>
    <col min="14852" max="14852" width="2.1640625" style="140" customWidth="1"/>
    <col min="14853" max="14853" width="8" style="140" customWidth="1"/>
    <col min="14854" max="14854" width="2.1640625" style="140" customWidth="1"/>
    <col min="14855" max="14855" width="8" style="140" customWidth="1"/>
    <col min="14856" max="14856" width="2.1640625" style="140" customWidth="1"/>
    <col min="14857" max="14857" width="8" style="140" customWidth="1"/>
    <col min="14858" max="14858" width="2.1640625" style="140" customWidth="1"/>
    <col min="14859" max="14859" width="8" style="140" customWidth="1"/>
    <col min="14860" max="14860" width="2.1640625" style="140" customWidth="1"/>
    <col min="14861" max="15104" width="8.83203125" style="140" customWidth="1"/>
    <col min="15105" max="15105" width="30.6640625" style="140" customWidth="1"/>
    <col min="15106" max="15106" width="2.1640625" style="140" customWidth="1"/>
    <col min="15107" max="15107" width="8" style="140" customWidth="1"/>
    <col min="15108" max="15108" width="2.1640625" style="140" customWidth="1"/>
    <col min="15109" max="15109" width="8" style="140" customWidth="1"/>
    <col min="15110" max="15110" width="2.1640625" style="140" customWidth="1"/>
    <col min="15111" max="15111" width="8" style="140" customWidth="1"/>
    <col min="15112" max="15112" width="2.1640625" style="140" customWidth="1"/>
    <col min="15113" max="15113" width="8" style="140" customWidth="1"/>
    <col min="15114" max="15114" width="2.1640625" style="140" customWidth="1"/>
    <col min="15115" max="15115" width="8" style="140" customWidth="1"/>
    <col min="15116" max="15116" width="2.1640625" style="140" customWidth="1"/>
    <col min="15117" max="15360" width="8.83203125" style="140" customWidth="1"/>
    <col min="15361" max="15361" width="30.6640625" style="140" customWidth="1"/>
    <col min="15362" max="15362" width="2.1640625" style="140" customWidth="1"/>
    <col min="15363" max="15363" width="8" style="140" customWidth="1"/>
    <col min="15364" max="15364" width="2.1640625" style="140" customWidth="1"/>
    <col min="15365" max="15365" width="8" style="140" customWidth="1"/>
    <col min="15366" max="15366" width="2.1640625" style="140" customWidth="1"/>
    <col min="15367" max="15367" width="8" style="140" customWidth="1"/>
    <col min="15368" max="15368" width="2.1640625" style="140" customWidth="1"/>
    <col min="15369" max="15369" width="8" style="140" customWidth="1"/>
    <col min="15370" max="15370" width="2.1640625" style="140" customWidth="1"/>
    <col min="15371" max="15371" width="8" style="140" customWidth="1"/>
    <col min="15372" max="15372" width="2.1640625" style="140" customWidth="1"/>
    <col min="15373" max="15616" width="8.83203125" style="140" customWidth="1"/>
    <col min="15617" max="15617" width="30.6640625" style="140" customWidth="1"/>
    <col min="15618" max="15618" width="2.1640625" style="140" customWidth="1"/>
    <col min="15619" max="15619" width="8" style="140" customWidth="1"/>
    <col min="15620" max="15620" width="2.1640625" style="140" customWidth="1"/>
    <col min="15621" max="15621" width="8" style="140" customWidth="1"/>
    <col min="15622" max="15622" width="2.1640625" style="140" customWidth="1"/>
    <col min="15623" max="15623" width="8" style="140" customWidth="1"/>
    <col min="15624" max="15624" width="2.1640625" style="140" customWidth="1"/>
    <col min="15625" max="15625" width="8" style="140" customWidth="1"/>
    <col min="15626" max="15626" width="2.1640625" style="140" customWidth="1"/>
    <col min="15627" max="15627" width="8" style="140" customWidth="1"/>
    <col min="15628" max="15628" width="2.1640625" style="140" customWidth="1"/>
    <col min="15629" max="15872" width="8.83203125" style="140" customWidth="1"/>
    <col min="15873" max="15873" width="30.6640625" style="140" customWidth="1"/>
    <col min="15874" max="15874" width="2.1640625" style="140" customWidth="1"/>
    <col min="15875" max="15875" width="8" style="140" customWidth="1"/>
    <col min="15876" max="15876" width="2.1640625" style="140" customWidth="1"/>
    <col min="15877" max="15877" width="8" style="140" customWidth="1"/>
    <col min="15878" max="15878" width="2.1640625" style="140" customWidth="1"/>
    <col min="15879" max="15879" width="8" style="140" customWidth="1"/>
    <col min="15880" max="15880" width="2.1640625" style="140" customWidth="1"/>
    <col min="15881" max="15881" width="8" style="140" customWidth="1"/>
    <col min="15882" max="15882" width="2.1640625" style="140" customWidth="1"/>
    <col min="15883" max="15883" width="8" style="140" customWidth="1"/>
    <col min="15884" max="15884" width="2.1640625" style="140" customWidth="1"/>
    <col min="15885" max="16128" width="8.83203125" style="140" customWidth="1"/>
    <col min="16129" max="16129" width="30.6640625" style="140" customWidth="1"/>
    <col min="16130" max="16130" width="2.1640625" style="140" customWidth="1"/>
    <col min="16131" max="16131" width="8" style="140" customWidth="1"/>
    <col min="16132" max="16132" width="2.1640625" style="140" customWidth="1"/>
    <col min="16133" max="16133" width="8" style="140" customWidth="1"/>
    <col min="16134" max="16134" width="2.1640625" style="140" customWidth="1"/>
    <col min="16135" max="16135" width="8" style="140" customWidth="1"/>
    <col min="16136" max="16136" width="2.1640625" style="140" customWidth="1"/>
    <col min="16137" max="16137" width="8" style="140" customWidth="1"/>
    <col min="16138" max="16138" width="2.1640625" style="140" customWidth="1"/>
    <col min="16139" max="16139" width="8" style="140" customWidth="1"/>
    <col min="16140" max="16140" width="2.1640625" style="140" customWidth="1"/>
    <col min="16141" max="16384" width="8.83203125" style="140" customWidth="1"/>
  </cols>
  <sheetData>
    <row r="1" spans="1:12" ht="11.25" customHeight="1">
      <c r="A1" s="397" t="s">
        <v>307</v>
      </c>
      <c r="B1" s="397"/>
      <c r="C1" s="397"/>
      <c r="D1" s="397"/>
      <c r="E1" s="397"/>
      <c r="F1" s="397"/>
      <c r="G1" s="397"/>
      <c r="H1" s="397"/>
      <c r="I1" s="397"/>
      <c r="J1" s="397"/>
      <c r="K1" s="397"/>
      <c r="L1" s="397"/>
    </row>
    <row r="2" spans="1:12" ht="11.25" customHeight="1">
      <c r="A2" s="397" t="s">
        <v>308</v>
      </c>
      <c r="B2" s="397"/>
      <c r="C2" s="397"/>
      <c r="D2" s="397"/>
      <c r="E2" s="397"/>
      <c r="F2" s="397"/>
      <c r="G2" s="397"/>
      <c r="H2" s="397"/>
      <c r="I2" s="397"/>
      <c r="J2" s="397"/>
      <c r="K2" s="397"/>
      <c r="L2" s="397"/>
    </row>
    <row r="3" spans="1:12" ht="11.25" customHeight="1">
      <c r="A3" s="397"/>
      <c r="B3" s="397"/>
      <c r="C3" s="397"/>
      <c r="D3" s="397"/>
      <c r="E3" s="397"/>
      <c r="F3" s="397"/>
      <c r="G3" s="397"/>
      <c r="H3" s="397"/>
      <c r="I3" s="397"/>
      <c r="J3" s="397"/>
      <c r="K3" s="397"/>
      <c r="L3" s="397"/>
    </row>
    <row r="4" spans="1:12" ht="11.25" customHeight="1">
      <c r="A4" s="397" t="s">
        <v>0</v>
      </c>
      <c r="B4" s="397"/>
      <c r="C4" s="397"/>
      <c r="D4" s="397"/>
      <c r="E4" s="397"/>
      <c r="F4" s="397"/>
      <c r="G4" s="397"/>
      <c r="H4" s="397"/>
      <c r="I4" s="397"/>
      <c r="J4" s="397"/>
      <c r="K4" s="397"/>
      <c r="L4" s="397"/>
    </row>
    <row r="5" spans="1:12" ht="11.25" customHeight="1">
      <c r="A5" s="397"/>
      <c r="B5" s="397"/>
      <c r="C5" s="397"/>
      <c r="D5" s="397"/>
      <c r="E5" s="397"/>
      <c r="F5" s="397"/>
      <c r="G5" s="397"/>
      <c r="H5" s="397"/>
      <c r="I5" s="397"/>
      <c r="J5" s="397"/>
      <c r="K5" s="397"/>
      <c r="L5" s="397"/>
    </row>
    <row r="6" spans="1:12" ht="11.25" customHeight="1">
      <c r="A6" s="141" t="s">
        <v>1</v>
      </c>
      <c r="B6" s="142"/>
      <c r="C6" s="143" t="s">
        <v>2</v>
      </c>
      <c r="D6" s="142"/>
      <c r="E6" s="143" t="s">
        <v>3</v>
      </c>
      <c r="F6" s="142"/>
      <c r="G6" s="143" t="s">
        <v>4</v>
      </c>
      <c r="H6" s="142"/>
      <c r="I6" s="143" t="s">
        <v>5</v>
      </c>
      <c r="J6" s="142"/>
      <c r="K6" s="143" t="s">
        <v>6</v>
      </c>
      <c r="L6" s="142"/>
    </row>
    <row r="7" spans="1:12" ht="11.25" customHeight="1">
      <c r="A7" s="142" t="s">
        <v>256</v>
      </c>
      <c r="B7" s="129"/>
      <c r="C7" s="144">
        <v>15</v>
      </c>
      <c r="D7" s="145"/>
      <c r="E7" s="144">
        <v>15.1</v>
      </c>
      <c r="F7" s="145"/>
      <c r="G7" s="144">
        <v>64.7</v>
      </c>
      <c r="H7" s="146" t="s">
        <v>8</v>
      </c>
      <c r="I7" s="144">
        <v>94.1</v>
      </c>
      <c r="J7" s="146" t="s">
        <v>8</v>
      </c>
      <c r="K7" s="144">
        <v>100</v>
      </c>
      <c r="L7" s="145"/>
    </row>
    <row r="8" spans="1:12" ht="11.25" customHeight="1">
      <c r="A8" s="142" t="s">
        <v>7</v>
      </c>
      <c r="B8" s="129"/>
      <c r="C8" s="144">
        <v>400</v>
      </c>
      <c r="D8" s="146" t="s">
        <v>9</v>
      </c>
      <c r="E8" s="144">
        <v>758</v>
      </c>
      <c r="F8" s="145"/>
      <c r="G8" s="144">
        <v>842</v>
      </c>
      <c r="H8" s="145"/>
      <c r="I8" s="144">
        <v>850</v>
      </c>
      <c r="J8" s="146" t="s">
        <v>8</v>
      </c>
      <c r="K8" s="144">
        <v>1090</v>
      </c>
      <c r="L8" s="146" t="s">
        <v>309</v>
      </c>
    </row>
    <row r="9" spans="1:12" ht="11.25" customHeight="1">
      <c r="A9" s="142" t="s">
        <v>310</v>
      </c>
      <c r="B9" s="129"/>
      <c r="C9" s="144">
        <v>9</v>
      </c>
      <c r="D9" s="145"/>
      <c r="E9" s="147" t="s">
        <v>12</v>
      </c>
      <c r="F9" s="146" t="s">
        <v>8</v>
      </c>
      <c r="G9" s="147" t="s">
        <v>12</v>
      </c>
      <c r="H9" s="146" t="s">
        <v>8</v>
      </c>
      <c r="I9" s="147" t="s">
        <v>12</v>
      </c>
      <c r="J9" s="146" t="s">
        <v>8</v>
      </c>
      <c r="K9" s="147" t="s">
        <v>12</v>
      </c>
      <c r="L9" s="145"/>
    </row>
    <row r="10" spans="1:12" ht="11.25" customHeight="1">
      <c r="A10" s="142" t="s">
        <v>224</v>
      </c>
      <c r="B10" s="129"/>
      <c r="C10" s="144">
        <v>4210</v>
      </c>
      <c r="D10" s="146" t="s">
        <v>8</v>
      </c>
      <c r="E10" s="144">
        <v>3797</v>
      </c>
      <c r="F10" s="146" t="s">
        <v>8</v>
      </c>
      <c r="G10" s="144">
        <v>4472</v>
      </c>
      <c r="H10" s="146" t="s">
        <v>8</v>
      </c>
      <c r="I10" s="144">
        <v>4107.0749999999998</v>
      </c>
      <c r="J10" s="146"/>
      <c r="K10" s="144">
        <v>4363</v>
      </c>
      <c r="L10" s="146" t="s">
        <v>309</v>
      </c>
    </row>
    <row r="11" spans="1:12" ht="11.25" customHeight="1">
      <c r="A11" s="142" t="s">
        <v>10</v>
      </c>
      <c r="B11" s="129"/>
      <c r="C11" s="144">
        <v>8798</v>
      </c>
      <c r="D11" s="145"/>
      <c r="E11" s="144">
        <v>8158</v>
      </c>
      <c r="F11" s="145"/>
      <c r="G11" s="144">
        <v>7812</v>
      </c>
      <c r="H11" s="145"/>
      <c r="I11" s="144">
        <v>7600</v>
      </c>
      <c r="J11" s="145"/>
      <c r="K11" s="144">
        <v>8242</v>
      </c>
      <c r="L11" s="146" t="s">
        <v>17</v>
      </c>
    </row>
    <row r="12" spans="1:12" ht="11.25" customHeight="1">
      <c r="A12" s="142" t="s">
        <v>11</v>
      </c>
      <c r="B12" s="129"/>
      <c r="C12" s="144">
        <v>5298</v>
      </c>
      <c r="D12" s="145"/>
      <c r="E12" s="144">
        <v>5213</v>
      </c>
      <c r="F12" s="145"/>
      <c r="G12" s="144">
        <v>5725</v>
      </c>
      <c r="H12" s="145"/>
      <c r="I12" s="144">
        <v>5887</v>
      </c>
      <c r="J12" s="146" t="s">
        <v>8</v>
      </c>
      <c r="K12" s="144">
        <v>6208</v>
      </c>
      <c r="L12" s="146" t="s">
        <v>309</v>
      </c>
    </row>
    <row r="13" spans="1:12" ht="11.25" customHeight="1">
      <c r="A13" s="142" t="s">
        <v>80</v>
      </c>
      <c r="B13" s="129"/>
      <c r="C13" s="144">
        <v>8</v>
      </c>
      <c r="D13" s="145"/>
      <c r="E13" s="148" t="s">
        <v>12</v>
      </c>
      <c r="F13" s="145"/>
      <c r="G13" s="148" t="s">
        <v>12</v>
      </c>
      <c r="H13" s="145"/>
      <c r="I13" s="148" t="s">
        <v>12</v>
      </c>
      <c r="J13" s="145"/>
      <c r="K13" s="148" t="s">
        <v>12</v>
      </c>
      <c r="L13" s="145"/>
    </row>
    <row r="14" spans="1:12" ht="11.25" customHeight="1">
      <c r="A14" s="142" t="s">
        <v>311</v>
      </c>
      <c r="B14" s="129"/>
      <c r="C14" s="144">
        <v>35</v>
      </c>
      <c r="D14" s="145"/>
      <c r="E14" s="144">
        <v>36</v>
      </c>
      <c r="F14" s="145"/>
      <c r="G14" s="144">
        <v>35</v>
      </c>
      <c r="H14" s="145"/>
      <c r="I14" s="144">
        <v>30</v>
      </c>
      <c r="J14" s="146" t="s">
        <v>8</v>
      </c>
      <c r="K14" s="144">
        <v>30</v>
      </c>
      <c r="L14" s="145"/>
    </row>
    <row r="15" spans="1:12" ht="11.25" customHeight="1">
      <c r="A15" s="142" t="s">
        <v>312</v>
      </c>
      <c r="B15" s="129"/>
      <c r="C15" s="144">
        <v>1412</v>
      </c>
      <c r="D15" s="145"/>
      <c r="E15" s="144">
        <v>1449</v>
      </c>
      <c r="F15" s="145"/>
      <c r="G15" s="144">
        <v>1623</v>
      </c>
      <c r="H15" s="145"/>
      <c r="I15" s="144">
        <v>1500</v>
      </c>
      <c r="J15" s="145"/>
      <c r="K15" s="144">
        <v>1500</v>
      </c>
      <c r="L15" s="145"/>
    </row>
    <row r="16" spans="1:12" ht="11.25" customHeight="1">
      <c r="A16" s="142" t="s">
        <v>261</v>
      </c>
      <c r="B16" s="129"/>
      <c r="C16" s="144">
        <v>11427</v>
      </c>
      <c r="D16" s="145"/>
      <c r="E16" s="144">
        <v>10972</v>
      </c>
      <c r="F16" s="145"/>
      <c r="G16" s="144">
        <v>11637</v>
      </c>
      <c r="H16" s="145"/>
      <c r="I16" s="144">
        <v>10783</v>
      </c>
      <c r="J16" s="146" t="s">
        <v>8</v>
      </c>
      <c r="K16" s="144">
        <v>11495</v>
      </c>
      <c r="L16" s="146" t="s">
        <v>309</v>
      </c>
    </row>
    <row r="17" spans="1:12" ht="11.25" customHeight="1">
      <c r="A17" s="142" t="s">
        <v>14</v>
      </c>
      <c r="B17" s="129"/>
      <c r="C17" s="144">
        <v>50</v>
      </c>
      <c r="D17" s="145"/>
      <c r="E17" s="144">
        <v>60</v>
      </c>
      <c r="F17" s="145"/>
      <c r="G17" s="144">
        <v>77</v>
      </c>
      <c r="H17" s="145"/>
      <c r="I17" s="144">
        <v>84</v>
      </c>
      <c r="J17" s="146" t="s">
        <v>8</v>
      </c>
      <c r="K17" s="144">
        <v>85</v>
      </c>
      <c r="L17" s="145"/>
    </row>
    <row r="18" spans="1:12" ht="11.25" customHeight="1">
      <c r="A18" s="142" t="s">
        <v>313</v>
      </c>
      <c r="B18" s="129"/>
      <c r="C18" s="144">
        <v>25800</v>
      </c>
      <c r="D18" s="146" t="s">
        <v>8</v>
      </c>
      <c r="E18" s="144">
        <v>24996</v>
      </c>
      <c r="F18" s="146" t="s">
        <v>8</v>
      </c>
      <c r="G18" s="144">
        <v>27865</v>
      </c>
      <c r="H18" s="146" t="s">
        <v>8</v>
      </c>
      <c r="I18" s="144">
        <v>26717</v>
      </c>
      <c r="J18" s="146" t="s">
        <v>8</v>
      </c>
      <c r="K18" s="144">
        <v>29603.599999999999</v>
      </c>
      <c r="L18" s="146" t="s">
        <v>309</v>
      </c>
    </row>
    <row r="19" spans="1:12" ht="11.25" customHeight="1">
      <c r="A19" s="142" t="s">
        <v>16</v>
      </c>
      <c r="B19" s="129"/>
      <c r="C19" s="144">
        <v>2216</v>
      </c>
      <c r="D19" s="145"/>
      <c r="E19" s="144">
        <v>1889</v>
      </c>
      <c r="F19" s="145"/>
      <c r="G19" s="144">
        <v>2017</v>
      </c>
      <c r="H19" s="145"/>
      <c r="I19" s="144">
        <v>1942</v>
      </c>
      <c r="J19" s="146" t="s">
        <v>8</v>
      </c>
      <c r="K19" s="144">
        <v>2000</v>
      </c>
      <c r="L19" s="145"/>
    </row>
    <row r="20" spans="1:12" ht="11.25" customHeight="1">
      <c r="A20" s="142" t="s">
        <v>314</v>
      </c>
      <c r="B20" s="129"/>
      <c r="C20" s="144">
        <v>23.5</v>
      </c>
      <c r="D20" s="145"/>
      <c r="E20" s="144">
        <v>23.5</v>
      </c>
      <c r="F20" s="145"/>
      <c r="G20" s="144">
        <v>23.5</v>
      </c>
      <c r="H20" s="145"/>
      <c r="I20" s="144">
        <v>23.5</v>
      </c>
      <c r="J20" s="145"/>
      <c r="K20" s="144">
        <v>23.5</v>
      </c>
      <c r="L20" s="145"/>
    </row>
    <row r="21" spans="1:12" ht="11.25" customHeight="1">
      <c r="A21" s="142" t="s">
        <v>226</v>
      </c>
      <c r="B21" s="129"/>
      <c r="C21" s="144">
        <v>15930</v>
      </c>
      <c r="D21" s="145"/>
      <c r="E21" s="144">
        <v>16300</v>
      </c>
      <c r="F21" s="145"/>
      <c r="G21" s="144">
        <v>15900</v>
      </c>
      <c r="H21" s="146" t="s">
        <v>8</v>
      </c>
      <c r="I21" s="144">
        <v>16300</v>
      </c>
      <c r="J21" s="146" t="s">
        <v>8</v>
      </c>
      <c r="K21" s="144">
        <v>16300</v>
      </c>
      <c r="L21" s="146" t="s">
        <v>17</v>
      </c>
    </row>
    <row r="22" spans="1:12" ht="11.25" customHeight="1">
      <c r="A22" s="142" t="s">
        <v>315</v>
      </c>
      <c r="B22" s="129"/>
      <c r="C22" s="144">
        <v>1171.4090000000001</v>
      </c>
      <c r="D22" s="145"/>
      <c r="E22" s="144">
        <v>1290.5119999999999</v>
      </c>
      <c r="F22" s="145"/>
      <c r="G22" s="144">
        <v>1351.9860000000001</v>
      </c>
      <c r="H22" s="145"/>
      <c r="I22" s="144">
        <v>1246.864</v>
      </c>
      <c r="J22" s="145"/>
      <c r="K22" s="144">
        <v>1279.5</v>
      </c>
      <c r="L22" s="146" t="s">
        <v>309</v>
      </c>
    </row>
    <row r="23" spans="1:12" ht="11.25" customHeight="1">
      <c r="A23" s="142" t="s">
        <v>316</v>
      </c>
      <c r="B23" s="129"/>
      <c r="C23" s="144">
        <v>115590</v>
      </c>
      <c r="D23" s="145"/>
      <c r="E23" s="144">
        <v>124260</v>
      </c>
      <c r="F23" s="145"/>
      <c r="G23" s="144">
        <v>128500</v>
      </c>
      <c r="H23" s="145"/>
      <c r="I23" s="144">
        <v>151630</v>
      </c>
      <c r="J23" s="146" t="s">
        <v>8</v>
      </c>
      <c r="K23" s="144">
        <v>181550</v>
      </c>
      <c r="L23" s="146" t="s">
        <v>309</v>
      </c>
    </row>
    <row r="24" spans="1:12" ht="11.25" customHeight="1">
      <c r="A24" s="142" t="s">
        <v>20</v>
      </c>
      <c r="B24" s="129"/>
      <c r="C24" s="144">
        <v>635.81399999999996</v>
      </c>
      <c r="D24" s="145"/>
      <c r="E24" s="144">
        <v>534.03800000000001</v>
      </c>
      <c r="F24" s="145"/>
      <c r="G24" s="144">
        <v>659.88199999999995</v>
      </c>
      <c r="H24" s="145"/>
      <c r="I24" s="144">
        <v>638.29999999999995</v>
      </c>
      <c r="J24" s="146" t="s">
        <v>8</v>
      </c>
      <c r="K24" s="144">
        <v>662.5</v>
      </c>
      <c r="L24" s="146" t="s">
        <v>309</v>
      </c>
    </row>
    <row r="25" spans="1:12" ht="11.25" customHeight="1">
      <c r="A25" s="142" t="s">
        <v>317</v>
      </c>
      <c r="B25" s="129"/>
      <c r="C25" s="144">
        <v>104.854</v>
      </c>
      <c r="D25" s="145"/>
      <c r="E25" s="144">
        <v>77.212999999999994</v>
      </c>
      <c r="F25" s="145"/>
      <c r="G25" s="144">
        <v>71.021000000000001</v>
      </c>
      <c r="H25" s="145"/>
      <c r="I25" s="144">
        <v>57.993000000000002</v>
      </c>
      <c r="J25" s="145"/>
      <c r="K25" s="144">
        <v>65</v>
      </c>
      <c r="L25" s="145"/>
    </row>
    <row r="26" spans="1:12" ht="11.25" customHeight="1">
      <c r="A26" s="142" t="s">
        <v>318</v>
      </c>
      <c r="B26" s="129"/>
      <c r="C26" s="144">
        <v>283.327</v>
      </c>
      <c r="D26" s="145"/>
      <c r="E26" s="144">
        <v>302.66199999999998</v>
      </c>
      <c r="F26" s="145"/>
      <c r="G26" s="144">
        <v>327.3</v>
      </c>
      <c r="H26" s="146" t="s">
        <v>8</v>
      </c>
      <c r="I26" s="144">
        <v>269.60000000000002</v>
      </c>
      <c r="J26" s="146" t="s">
        <v>8</v>
      </c>
      <c r="K26" s="144">
        <v>269.60000000000002</v>
      </c>
      <c r="L26" s="145"/>
    </row>
    <row r="27" spans="1:12" ht="11.25" customHeight="1">
      <c r="A27" s="142" t="s">
        <v>319</v>
      </c>
      <c r="B27" s="129"/>
      <c r="C27" s="144">
        <v>6498</v>
      </c>
      <c r="D27" s="145"/>
      <c r="E27" s="144">
        <v>5613</v>
      </c>
      <c r="F27" s="145"/>
      <c r="G27" s="144">
        <v>6216</v>
      </c>
      <c r="H27" s="145"/>
      <c r="I27" s="144">
        <v>6316</v>
      </c>
      <c r="J27" s="146" t="s">
        <v>8</v>
      </c>
      <c r="K27" s="144">
        <v>6500</v>
      </c>
      <c r="L27" s="145"/>
    </row>
    <row r="28" spans="1:12" ht="11.25" customHeight="1">
      <c r="A28" s="142" t="s">
        <v>320</v>
      </c>
      <c r="B28" s="129"/>
      <c r="C28" s="144">
        <v>790</v>
      </c>
      <c r="D28" s="145"/>
      <c r="E28" s="144">
        <v>748</v>
      </c>
      <c r="F28" s="145"/>
      <c r="G28" s="144">
        <v>803</v>
      </c>
      <c r="H28" s="146" t="s">
        <v>8</v>
      </c>
      <c r="I28" s="144">
        <v>746</v>
      </c>
      <c r="J28" s="146" t="s">
        <v>8</v>
      </c>
      <c r="K28" s="144">
        <v>392</v>
      </c>
      <c r="L28" s="145"/>
    </row>
    <row r="29" spans="1:12" ht="11.25" customHeight="1">
      <c r="A29" s="142" t="s">
        <v>321</v>
      </c>
      <c r="B29" s="129"/>
      <c r="C29" s="144">
        <v>35.874000000000002</v>
      </c>
      <c r="D29" s="145"/>
      <c r="E29" s="144">
        <v>42.893000000000001</v>
      </c>
      <c r="F29" s="145"/>
      <c r="G29" s="144">
        <v>35.801000000000002</v>
      </c>
      <c r="H29" s="146" t="s">
        <v>8</v>
      </c>
      <c r="I29" s="144">
        <v>35.799999999999997</v>
      </c>
      <c r="J29" s="146" t="s">
        <v>79</v>
      </c>
      <c r="K29" s="144">
        <v>35.799999999999997</v>
      </c>
      <c r="L29" s="145"/>
    </row>
    <row r="30" spans="1:12" ht="11.25" customHeight="1">
      <c r="A30" s="142" t="s">
        <v>322</v>
      </c>
      <c r="B30" s="129"/>
      <c r="C30" s="144">
        <v>45.783999999999999</v>
      </c>
      <c r="D30" s="145"/>
      <c r="E30" s="144">
        <v>53</v>
      </c>
      <c r="F30" s="145"/>
      <c r="G30" s="144">
        <v>58.482999999999997</v>
      </c>
      <c r="H30" s="145"/>
      <c r="I30" s="144">
        <v>59.7</v>
      </c>
      <c r="J30" s="146" t="s">
        <v>8</v>
      </c>
      <c r="K30" s="144">
        <v>67.2</v>
      </c>
      <c r="L30" s="146" t="s">
        <v>309</v>
      </c>
    </row>
    <row r="31" spans="1:12" ht="11.25" customHeight="1">
      <c r="A31" s="142" t="s">
        <v>21</v>
      </c>
      <c r="B31" s="129"/>
      <c r="C31" s="144">
        <v>2870</v>
      </c>
      <c r="D31" s="145"/>
      <c r="E31" s="144">
        <v>2619</v>
      </c>
      <c r="F31" s="145"/>
      <c r="G31" s="144">
        <v>2820</v>
      </c>
      <c r="H31" s="146" t="s">
        <v>9</v>
      </c>
      <c r="I31" s="144">
        <v>3800</v>
      </c>
      <c r="J31" s="146" t="s">
        <v>8</v>
      </c>
      <c r="K31" s="144">
        <v>4200</v>
      </c>
      <c r="L31" s="145"/>
    </row>
    <row r="32" spans="1:12" ht="11.25" customHeight="1">
      <c r="A32" s="142" t="s">
        <v>323</v>
      </c>
      <c r="B32" s="129"/>
      <c r="C32" s="144">
        <v>43.161999999999999</v>
      </c>
      <c r="D32" s="145"/>
      <c r="E32" s="144">
        <v>33.500999999999998</v>
      </c>
      <c r="F32" s="145"/>
      <c r="G32" s="144">
        <v>40.506</v>
      </c>
      <c r="H32" s="145"/>
      <c r="I32" s="144">
        <v>38.502000000000002</v>
      </c>
      <c r="J32" s="145"/>
      <c r="K32" s="144">
        <v>48.8</v>
      </c>
      <c r="L32" s="146" t="s">
        <v>309</v>
      </c>
    </row>
    <row r="33" spans="1:12" ht="11.25" customHeight="1">
      <c r="A33" s="142" t="s">
        <v>267</v>
      </c>
      <c r="B33" s="129"/>
      <c r="C33" s="144">
        <v>3932</v>
      </c>
      <c r="D33" s="145"/>
      <c r="E33" s="144">
        <v>3956</v>
      </c>
      <c r="F33" s="145"/>
      <c r="G33" s="144">
        <v>4096</v>
      </c>
      <c r="H33" s="145"/>
      <c r="I33" s="144">
        <v>3938</v>
      </c>
      <c r="J33" s="146" t="s">
        <v>8</v>
      </c>
      <c r="K33" s="144">
        <v>4004</v>
      </c>
      <c r="L33" s="146" t="s">
        <v>309</v>
      </c>
    </row>
    <row r="34" spans="1:12" ht="11.25" customHeight="1">
      <c r="A34" s="142" t="s">
        <v>268</v>
      </c>
      <c r="B34" s="129"/>
      <c r="C34" s="144">
        <v>20126</v>
      </c>
      <c r="D34" s="145"/>
      <c r="E34" s="144">
        <v>20211</v>
      </c>
      <c r="F34" s="145"/>
      <c r="G34" s="144">
        <v>21002</v>
      </c>
      <c r="H34" s="146" t="s">
        <v>8</v>
      </c>
      <c r="I34" s="144">
        <v>19431</v>
      </c>
      <c r="J34" s="146" t="s">
        <v>8</v>
      </c>
      <c r="K34" s="144">
        <v>20524</v>
      </c>
      <c r="L34" s="146" t="s">
        <v>309</v>
      </c>
    </row>
    <row r="35" spans="1:12" ht="11.25" customHeight="1">
      <c r="A35" s="142" t="s">
        <v>324</v>
      </c>
      <c r="B35" s="129"/>
      <c r="C35" s="144">
        <v>56.4</v>
      </c>
      <c r="D35" s="146" t="s">
        <v>8</v>
      </c>
      <c r="E35" s="144">
        <v>7</v>
      </c>
      <c r="F35" s="146" t="s">
        <v>8</v>
      </c>
      <c r="G35" s="144">
        <v>5</v>
      </c>
      <c r="H35" s="146" t="s">
        <v>8</v>
      </c>
      <c r="I35" s="144">
        <v>5</v>
      </c>
      <c r="J35" s="146" t="s">
        <v>8</v>
      </c>
      <c r="K35" s="144">
        <v>5</v>
      </c>
      <c r="L35" s="145"/>
    </row>
    <row r="36" spans="1:12" ht="11.25" customHeight="1">
      <c r="A36" s="142" t="s">
        <v>22</v>
      </c>
      <c r="B36" s="129"/>
      <c r="C36" s="144">
        <v>44046</v>
      </c>
      <c r="D36" s="145"/>
      <c r="E36" s="144">
        <v>42056</v>
      </c>
      <c r="F36" s="145"/>
      <c r="G36" s="144">
        <v>46376</v>
      </c>
      <c r="H36" s="145"/>
      <c r="I36" s="144">
        <v>44775</v>
      </c>
      <c r="J36" s="146" t="s">
        <v>8</v>
      </c>
      <c r="K36" s="144">
        <v>44999</v>
      </c>
      <c r="L36" s="146" t="s">
        <v>309</v>
      </c>
    </row>
    <row r="37" spans="1:12" ht="11.25" customHeight="1">
      <c r="A37" s="142" t="s">
        <v>325</v>
      </c>
      <c r="B37" s="129"/>
      <c r="C37" s="144">
        <v>75</v>
      </c>
      <c r="D37" s="145"/>
      <c r="E37" s="144">
        <v>75</v>
      </c>
      <c r="F37" s="145"/>
      <c r="G37" s="144">
        <v>75</v>
      </c>
      <c r="H37" s="145"/>
      <c r="I37" s="144">
        <v>75</v>
      </c>
      <c r="J37" s="145"/>
      <c r="K37" s="144">
        <v>75</v>
      </c>
      <c r="L37" s="145"/>
    </row>
    <row r="38" spans="1:12" ht="11.25" customHeight="1">
      <c r="A38" s="142" t="s">
        <v>326</v>
      </c>
      <c r="B38" s="129"/>
      <c r="C38" s="144">
        <v>1109</v>
      </c>
      <c r="D38" s="145"/>
      <c r="E38" s="144">
        <v>951</v>
      </c>
      <c r="F38" s="145"/>
      <c r="G38" s="144">
        <v>1056</v>
      </c>
      <c r="H38" s="145"/>
      <c r="I38" s="144">
        <v>1281</v>
      </c>
      <c r="J38" s="146" t="s">
        <v>8</v>
      </c>
      <c r="K38" s="144">
        <v>1835</v>
      </c>
      <c r="L38" s="146" t="s">
        <v>309</v>
      </c>
    </row>
    <row r="39" spans="1:12" ht="11.25" customHeight="1">
      <c r="A39" s="142" t="s">
        <v>23</v>
      </c>
      <c r="B39" s="129"/>
      <c r="C39" s="144">
        <v>28.146999999999998</v>
      </c>
      <c r="D39" s="145"/>
      <c r="E39" s="144">
        <v>80</v>
      </c>
      <c r="F39" s="145"/>
      <c r="G39" s="144">
        <v>166.453</v>
      </c>
      <c r="H39" s="145"/>
      <c r="I39" s="144">
        <v>201.8</v>
      </c>
      <c r="J39" s="146" t="s">
        <v>8</v>
      </c>
      <c r="K39" s="144">
        <v>215.9</v>
      </c>
      <c r="L39" s="146" t="s">
        <v>309</v>
      </c>
    </row>
    <row r="40" spans="1:12" ht="11.25" customHeight="1">
      <c r="A40" s="142" t="s">
        <v>327</v>
      </c>
      <c r="B40" s="129"/>
      <c r="C40" s="144">
        <v>350</v>
      </c>
      <c r="D40" s="145"/>
      <c r="E40" s="144">
        <v>450</v>
      </c>
      <c r="F40" s="145"/>
      <c r="G40" s="144">
        <v>500</v>
      </c>
      <c r="H40" s="145"/>
      <c r="I40" s="144">
        <v>500</v>
      </c>
      <c r="J40" s="145"/>
      <c r="K40" s="144">
        <v>500</v>
      </c>
      <c r="L40" s="145"/>
    </row>
    <row r="41" spans="1:12" ht="11.25" customHeight="1">
      <c r="A41" s="142" t="s">
        <v>328</v>
      </c>
      <c r="B41" s="129"/>
      <c r="C41" s="144">
        <v>1821</v>
      </c>
      <c r="D41" s="145"/>
      <c r="E41" s="144">
        <v>1813</v>
      </c>
      <c r="F41" s="145"/>
      <c r="G41" s="144">
        <v>1871</v>
      </c>
      <c r="H41" s="145"/>
      <c r="I41" s="144">
        <v>2056</v>
      </c>
      <c r="J41" s="146" t="s">
        <v>8</v>
      </c>
      <c r="K41" s="144">
        <v>2000</v>
      </c>
      <c r="L41" s="145"/>
    </row>
    <row r="42" spans="1:12" ht="11.25" customHeight="1">
      <c r="A42" s="142" t="s">
        <v>24</v>
      </c>
      <c r="B42" s="129"/>
      <c r="C42" s="144">
        <v>23480</v>
      </c>
      <c r="D42" s="145"/>
      <c r="E42" s="144">
        <v>24269</v>
      </c>
      <c r="F42" s="145"/>
      <c r="G42" s="144">
        <v>26924</v>
      </c>
      <c r="H42" s="145"/>
      <c r="I42" s="144">
        <v>27291</v>
      </c>
      <c r="J42" s="146" t="s">
        <v>8</v>
      </c>
      <c r="K42" s="144">
        <v>28814</v>
      </c>
      <c r="L42" s="146" t="s">
        <v>309</v>
      </c>
    </row>
    <row r="43" spans="1:12" ht="11.25" customHeight="1">
      <c r="A43" s="142" t="s">
        <v>99</v>
      </c>
      <c r="B43" s="129"/>
      <c r="C43" s="148" t="s">
        <v>13</v>
      </c>
      <c r="D43" s="145"/>
      <c r="E43" s="144">
        <v>2890</v>
      </c>
      <c r="F43" s="145"/>
      <c r="G43" s="144">
        <v>3010</v>
      </c>
      <c r="H43" s="145"/>
      <c r="I43" s="144">
        <v>2780</v>
      </c>
      <c r="J43" s="146" t="s">
        <v>8</v>
      </c>
      <c r="K43" s="144">
        <v>3000</v>
      </c>
      <c r="L43" s="145"/>
    </row>
    <row r="44" spans="1:12" ht="11.25" customHeight="1">
      <c r="A44" s="142" t="s">
        <v>230</v>
      </c>
      <c r="B44" s="129"/>
      <c r="C44" s="144">
        <v>5608</v>
      </c>
      <c r="D44" s="145"/>
      <c r="E44" s="144">
        <v>6277</v>
      </c>
      <c r="F44" s="145"/>
      <c r="G44" s="144">
        <v>6600</v>
      </c>
      <c r="H44" s="145"/>
      <c r="I44" s="144">
        <v>6900</v>
      </c>
      <c r="J44" s="146" t="s">
        <v>9</v>
      </c>
      <c r="K44" s="144">
        <v>7300</v>
      </c>
      <c r="L44" s="145"/>
    </row>
    <row r="45" spans="1:12" ht="11.25" customHeight="1">
      <c r="A45" s="142" t="s">
        <v>329</v>
      </c>
      <c r="B45" s="129"/>
      <c r="C45" s="144">
        <v>50</v>
      </c>
      <c r="D45" s="146" t="s">
        <v>8</v>
      </c>
      <c r="E45" s="144">
        <v>50</v>
      </c>
      <c r="F45" s="146" t="s">
        <v>8</v>
      </c>
      <c r="G45" s="144">
        <v>50</v>
      </c>
      <c r="H45" s="145"/>
      <c r="I45" s="144">
        <v>50</v>
      </c>
      <c r="J45" s="145"/>
      <c r="K45" s="144">
        <v>25</v>
      </c>
      <c r="L45" s="145"/>
    </row>
    <row r="46" spans="1:12" ht="11.25" customHeight="1">
      <c r="A46" s="142" t="s">
        <v>330</v>
      </c>
      <c r="B46" s="129"/>
      <c r="C46" s="144">
        <v>358</v>
      </c>
      <c r="D46" s="145"/>
      <c r="E46" s="144">
        <v>335</v>
      </c>
      <c r="F46" s="145"/>
      <c r="G46" s="144">
        <v>375</v>
      </c>
      <c r="H46" s="145"/>
      <c r="I46" s="144">
        <v>110</v>
      </c>
      <c r="J46" s="146" t="s">
        <v>8</v>
      </c>
      <c r="K46" s="149" t="s">
        <v>12</v>
      </c>
      <c r="L46" s="145"/>
    </row>
    <row r="47" spans="1:12" ht="11.25" customHeight="1">
      <c r="A47" s="142" t="s">
        <v>331</v>
      </c>
      <c r="B47" s="129"/>
      <c r="C47" s="144">
        <v>280</v>
      </c>
      <c r="D47" s="145"/>
      <c r="E47" s="144">
        <v>280</v>
      </c>
      <c r="F47" s="145"/>
      <c r="G47" s="144">
        <v>270</v>
      </c>
      <c r="H47" s="145"/>
      <c r="I47" s="144">
        <v>220</v>
      </c>
      <c r="J47" s="145"/>
      <c r="K47" s="144">
        <v>150</v>
      </c>
      <c r="L47" s="145"/>
    </row>
    <row r="48" spans="1:12" ht="11.25" customHeight="1">
      <c r="A48" s="142" t="s">
        <v>272</v>
      </c>
      <c r="B48" s="129"/>
      <c r="C48" s="144">
        <v>25798</v>
      </c>
      <c r="D48" s="145"/>
      <c r="E48" s="144">
        <v>24964</v>
      </c>
      <c r="F48" s="145"/>
      <c r="G48" s="144">
        <v>26544</v>
      </c>
      <c r="H48" s="145"/>
      <c r="I48" s="144">
        <v>26483</v>
      </c>
      <c r="J48" s="146" t="s">
        <v>8</v>
      </c>
      <c r="K48" s="144">
        <v>25930</v>
      </c>
      <c r="L48" s="146" t="s">
        <v>309</v>
      </c>
    </row>
    <row r="49" spans="1:12" ht="11.25" customHeight="1">
      <c r="A49" s="142" t="s">
        <v>26</v>
      </c>
      <c r="B49" s="129"/>
      <c r="C49" s="144">
        <v>93547.99</v>
      </c>
      <c r="D49" s="145"/>
      <c r="E49" s="144">
        <v>94192.4</v>
      </c>
      <c r="F49" s="145"/>
      <c r="G49" s="144">
        <v>106444.46799999999</v>
      </c>
      <c r="H49" s="145"/>
      <c r="I49" s="144">
        <v>102865.95</v>
      </c>
      <c r="J49" s="146"/>
      <c r="K49" s="144">
        <v>107745.01</v>
      </c>
      <c r="L49" s="146" t="s">
        <v>309</v>
      </c>
    </row>
    <row r="50" spans="1:12" ht="11.25" customHeight="1">
      <c r="A50" s="142" t="s">
        <v>332</v>
      </c>
      <c r="B50" s="129"/>
      <c r="C50" s="144">
        <v>30</v>
      </c>
      <c r="D50" s="145"/>
      <c r="E50" s="144">
        <v>30</v>
      </c>
      <c r="F50" s="145"/>
      <c r="G50" s="144">
        <v>30</v>
      </c>
      <c r="H50" s="145"/>
      <c r="I50" s="144">
        <v>30</v>
      </c>
      <c r="J50" s="145"/>
      <c r="K50" s="144">
        <v>30</v>
      </c>
      <c r="L50" s="145"/>
    </row>
    <row r="51" spans="1:12" ht="11.25" customHeight="1">
      <c r="A51" s="142" t="s">
        <v>28</v>
      </c>
      <c r="B51" s="129"/>
      <c r="C51" s="144">
        <v>3089</v>
      </c>
      <c r="D51" s="145"/>
      <c r="E51" s="144">
        <v>4116</v>
      </c>
      <c r="F51" s="145"/>
      <c r="G51" s="144">
        <v>4770</v>
      </c>
      <c r="H51" s="145"/>
      <c r="I51" s="144">
        <v>4691</v>
      </c>
      <c r="J51" s="146" t="s">
        <v>8</v>
      </c>
      <c r="K51" s="144">
        <v>4868.2</v>
      </c>
      <c r="L51" s="146" t="s">
        <v>309</v>
      </c>
    </row>
    <row r="52" spans="1:12" ht="11.25" customHeight="1">
      <c r="A52" s="142" t="s">
        <v>29</v>
      </c>
      <c r="B52" s="129"/>
      <c r="C52" s="144">
        <v>25</v>
      </c>
      <c r="D52" s="146" t="s">
        <v>9</v>
      </c>
      <c r="E52" s="148" t="s">
        <v>12</v>
      </c>
      <c r="F52" s="145"/>
      <c r="G52" s="148" t="s">
        <v>12</v>
      </c>
      <c r="H52" s="145"/>
      <c r="I52" s="148" t="s">
        <v>12</v>
      </c>
      <c r="J52" s="145"/>
      <c r="K52" s="148" t="s">
        <v>12</v>
      </c>
      <c r="L52" s="145"/>
    </row>
    <row r="53" spans="1:12" ht="11.25" customHeight="1">
      <c r="A53" s="142" t="s">
        <v>30</v>
      </c>
      <c r="B53" s="129"/>
      <c r="C53" s="144">
        <v>1000</v>
      </c>
      <c r="D53" s="145"/>
      <c r="E53" s="144">
        <v>1000</v>
      </c>
      <c r="F53" s="145"/>
      <c r="G53" s="144">
        <v>1000</v>
      </c>
      <c r="H53" s="145"/>
      <c r="I53" s="144">
        <v>1000</v>
      </c>
      <c r="J53" s="145"/>
      <c r="K53" s="144">
        <v>1000</v>
      </c>
      <c r="L53" s="145"/>
    </row>
    <row r="54" spans="1:12" ht="11.25" customHeight="1">
      <c r="A54" s="142" t="s">
        <v>31</v>
      </c>
      <c r="B54" s="129"/>
      <c r="C54" s="144">
        <v>39896</v>
      </c>
      <c r="D54" s="145"/>
      <c r="E54" s="144">
        <v>41042</v>
      </c>
      <c r="F54" s="145"/>
      <c r="G54" s="144">
        <v>43107</v>
      </c>
      <c r="H54" s="145"/>
      <c r="I54" s="144">
        <v>43852</v>
      </c>
      <c r="J54" s="145"/>
      <c r="K54" s="144">
        <v>45390</v>
      </c>
      <c r="L54" s="146" t="s">
        <v>309</v>
      </c>
    </row>
    <row r="55" spans="1:12" ht="11.25" customHeight="1">
      <c r="A55" s="142" t="s">
        <v>333</v>
      </c>
      <c r="B55" s="129"/>
      <c r="C55" s="144">
        <v>468.5</v>
      </c>
      <c r="D55" s="145"/>
      <c r="E55" s="144">
        <v>483.74400000000003</v>
      </c>
      <c r="F55" s="145"/>
      <c r="G55" s="144">
        <v>500.29199999999997</v>
      </c>
      <c r="H55" s="145"/>
      <c r="I55" s="144">
        <v>510</v>
      </c>
      <c r="J55" s="146" t="s">
        <v>9</v>
      </c>
      <c r="K55" s="144">
        <v>505</v>
      </c>
      <c r="L55" s="145"/>
    </row>
    <row r="56" spans="1:12" ht="11.25" customHeight="1">
      <c r="A56" s="142" t="s">
        <v>334</v>
      </c>
      <c r="B56" s="129"/>
      <c r="C56" s="144">
        <v>925</v>
      </c>
      <c r="D56" s="145"/>
      <c r="E56" s="144">
        <v>945</v>
      </c>
      <c r="F56" s="145"/>
      <c r="G56" s="144">
        <v>1055</v>
      </c>
      <c r="H56" s="145"/>
      <c r="I56" s="144">
        <v>846</v>
      </c>
      <c r="J56" s="146" t="s">
        <v>79</v>
      </c>
      <c r="K56" s="144">
        <v>1000</v>
      </c>
      <c r="L56" s="145"/>
    </row>
    <row r="57" spans="1:12" ht="11.25" customHeight="1">
      <c r="A57" s="142" t="s">
        <v>335</v>
      </c>
      <c r="B57" s="129"/>
      <c r="C57" s="144">
        <v>2592</v>
      </c>
      <c r="D57" s="145"/>
      <c r="E57" s="144">
        <v>2477</v>
      </c>
      <c r="F57" s="145"/>
      <c r="G57" s="144">
        <v>2571</v>
      </c>
      <c r="H57" s="145"/>
      <c r="I57" s="144">
        <v>2725</v>
      </c>
      <c r="J57" s="146" t="s">
        <v>8</v>
      </c>
      <c r="K57" s="144">
        <v>2736</v>
      </c>
      <c r="L57" s="146" t="s">
        <v>309</v>
      </c>
    </row>
    <row r="58" spans="1:12" ht="11.25" customHeight="1">
      <c r="A58" s="142" t="s">
        <v>336</v>
      </c>
      <c r="B58" s="129"/>
      <c r="C58" s="144">
        <v>49</v>
      </c>
      <c r="D58" s="145"/>
      <c r="E58" s="144">
        <v>49</v>
      </c>
      <c r="F58" s="145"/>
      <c r="G58" s="144">
        <v>50</v>
      </c>
      <c r="H58" s="145"/>
      <c r="I58" s="144">
        <v>50</v>
      </c>
      <c r="J58" s="145"/>
      <c r="K58" s="144">
        <v>50</v>
      </c>
      <c r="L58" s="145"/>
    </row>
    <row r="59" spans="1:12" ht="11.25" customHeight="1">
      <c r="A59" s="142" t="s">
        <v>32</v>
      </c>
      <c r="B59" s="129"/>
      <c r="C59" s="144">
        <v>1902.7090000000001</v>
      </c>
      <c r="D59" s="146" t="s">
        <v>8</v>
      </c>
      <c r="E59" s="144">
        <v>2770</v>
      </c>
      <c r="F59" s="146" t="s">
        <v>8</v>
      </c>
      <c r="G59" s="144">
        <v>3650</v>
      </c>
      <c r="H59" s="146" t="s">
        <v>8</v>
      </c>
      <c r="I59" s="144">
        <v>4100</v>
      </c>
      <c r="J59" s="146" t="s">
        <v>8</v>
      </c>
      <c r="K59" s="144">
        <v>4200</v>
      </c>
      <c r="L59" s="145"/>
    </row>
    <row r="60" spans="1:12" ht="11.25" customHeight="1">
      <c r="A60" s="142" t="s">
        <v>234</v>
      </c>
      <c r="B60" s="129"/>
      <c r="C60" s="144">
        <v>14181.684999999999</v>
      </c>
      <c r="D60" s="145"/>
      <c r="E60" s="144">
        <v>15242.736999999999</v>
      </c>
      <c r="F60" s="145"/>
      <c r="G60" s="144">
        <v>15586.210999999999</v>
      </c>
      <c r="H60" s="145"/>
      <c r="I60" s="144">
        <v>13291.906000000001</v>
      </c>
      <c r="J60" s="145"/>
      <c r="K60" s="144">
        <v>14050.5</v>
      </c>
      <c r="L60" s="146" t="s">
        <v>309</v>
      </c>
    </row>
    <row r="61" spans="1:12" ht="11.25" customHeight="1">
      <c r="A61" s="142" t="s">
        <v>337</v>
      </c>
      <c r="B61" s="129"/>
      <c r="C61" s="144">
        <v>718</v>
      </c>
      <c r="D61" s="145"/>
      <c r="E61" s="144">
        <v>796</v>
      </c>
      <c r="F61" s="145"/>
      <c r="G61" s="144">
        <v>909</v>
      </c>
      <c r="H61" s="145"/>
      <c r="I61" s="144">
        <v>966</v>
      </c>
      <c r="J61" s="145"/>
      <c r="K61" s="144">
        <v>900</v>
      </c>
      <c r="L61" s="145"/>
    </row>
    <row r="62" spans="1:12" ht="11.25" customHeight="1">
      <c r="A62" s="142" t="s">
        <v>275</v>
      </c>
      <c r="B62" s="150"/>
      <c r="C62" s="151">
        <v>5</v>
      </c>
      <c r="D62" s="152"/>
      <c r="E62" s="151">
        <v>5</v>
      </c>
      <c r="F62" s="152"/>
      <c r="G62" s="151">
        <v>5</v>
      </c>
      <c r="H62" s="152"/>
      <c r="I62" s="151">
        <v>5</v>
      </c>
      <c r="J62" s="152"/>
      <c r="K62" s="151">
        <v>5</v>
      </c>
      <c r="L62" s="152"/>
    </row>
    <row r="63" spans="1:12" ht="11.25" customHeight="1">
      <c r="A63" s="439" t="s">
        <v>203</v>
      </c>
      <c r="B63" s="439"/>
      <c r="C63" s="439"/>
      <c r="D63" s="439"/>
      <c r="E63" s="439"/>
      <c r="F63" s="439"/>
      <c r="G63" s="439"/>
      <c r="H63" s="439"/>
      <c r="I63" s="439"/>
      <c r="J63" s="439"/>
      <c r="K63" s="439"/>
      <c r="L63" s="439"/>
    </row>
    <row r="64" spans="1:12" ht="11.25" customHeight="1">
      <c r="A64" s="397" t="s">
        <v>338</v>
      </c>
      <c r="B64" s="397"/>
      <c r="C64" s="397"/>
      <c r="D64" s="397"/>
      <c r="E64" s="397"/>
      <c r="F64" s="397"/>
      <c r="G64" s="397"/>
      <c r="H64" s="397"/>
      <c r="I64" s="397"/>
      <c r="J64" s="397"/>
      <c r="K64" s="397"/>
      <c r="L64" s="397"/>
    </row>
    <row r="65" spans="1:12" ht="11.25" customHeight="1">
      <c r="A65" s="397" t="s">
        <v>308</v>
      </c>
      <c r="B65" s="397"/>
      <c r="C65" s="397"/>
      <c r="D65" s="397"/>
      <c r="E65" s="397"/>
      <c r="F65" s="397"/>
      <c r="G65" s="397"/>
      <c r="H65" s="397"/>
      <c r="I65" s="397"/>
      <c r="J65" s="397"/>
      <c r="K65" s="397"/>
      <c r="L65" s="397"/>
    </row>
    <row r="66" spans="1:12" ht="11.25" customHeight="1">
      <c r="A66" s="397"/>
      <c r="B66" s="397"/>
      <c r="C66" s="397"/>
      <c r="D66" s="397"/>
      <c r="E66" s="397"/>
      <c r="F66" s="397"/>
      <c r="G66" s="397"/>
      <c r="H66" s="397"/>
      <c r="I66" s="397"/>
      <c r="J66" s="397"/>
      <c r="K66" s="397"/>
      <c r="L66" s="397"/>
    </row>
    <row r="67" spans="1:12" ht="11.25" customHeight="1">
      <c r="A67" s="397" t="s">
        <v>0</v>
      </c>
      <c r="B67" s="397"/>
      <c r="C67" s="397"/>
      <c r="D67" s="397"/>
      <c r="E67" s="397"/>
      <c r="F67" s="397"/>
      <c r="G67" s="397"/>
      <c r="H67" s="397"/>
      <c r="I67" s="397"/>
      <c r="J67" s="397"/>
      <c r="K67" s="397"/>
      <c r="L67" s="397"/>
    </row>
    <row r="68" spans="1:12" ht="11.25" customHeight="1">
      <c r="A68" s="397"/>
      <c r="B68" s="397"/>
      <c r="C68" s="397"/>
      <c r="D68" s="397"/>
      <c r="E68" s="397"/>
      <c r="F68" s="397"/>
      <c r="G68" s="397"/>
      <c r="H68" s="397"/>
      <c r="I68" s="397"/>
      <c r="J68" s="397"/>
      <c r="K68" s="397"/>
      <c r="L68" s="397"/>
    </row>
    <row r="69" spans="1:12" ht="11.25" customHeight="1">
      <c r="A69" s="141" t="s">
        <v>1</v>
      </c>
      <c r="B69" s="142"/>
      <c r="C69" s="143" t="s">
        <v>2</v>
      </c>
      <c r="D69" s="142"/>
      <c r="E69" s="143" t="s">
        <v>3</v>
      </c>
      <c r="F69" s="142"/>
      <c r="G69" s="143" t="s">
        <v>4</v>
      </c>
      <c r="H69" s="142"/>
      <c r="I69" s="143" t="s">
        <v>5</v>
      </c>
      <c r="J69" s="142"/>
      <c r="K69" s="143" t="s">
        <v>6</v>
      </c>
      <c r="L69" s="142"/>
    </row>
    <row r="70" spans="1:12" ht="11.25" customHeight="1">
      <c r="A70" s="142" t="s">
        <v>339</v>
      </c>
      <c r="B70" s="153"/>
      <c r="C70" s="154">
        <v>6379</v>
      </c>
      <c r="D70" s="155"/>
      <c r="E70" s="154">
        <v>6075</v>
      </c>
      <c r="F70" s="155"/>
      <c r="G70" s="154">
        <v>5667</v>
      </c>
      <c r="H70" s="155"/>
      <c r="I70" s="154">
        <v>6037</v>
      </c>
      <c r="J70" s="156" t="s">
        <v>8</v>
      </c>
      <c r="K70" s="154">
        <v>6144</v>
      </c>
      <c r="L70" s="156" t="s">
        <v>309</v>
      </c>
    </row>
    <row r="71" spans="1:12" ht="11.25" customHeight="1">
      <c r="A71" s="142" t="s">
        <v>277</v>
      </c>
      <c r="B71" s="129"/>
      <c r="C71" s="144">
        <v>756</v>
      </c>
      <c r="D71" s="145"/>
      <c r="E71" s="144">
        <v>744</v>
      </c>
      <c r="F71" s="145"/>
      <c r="G71" s="144">
        <v>765</v>
      </c>
      <c r="H71" s="145"/>
      <c r="I71" s="144">
        <v>770</v>
      </c>
      <c r="J71" s="146" t="s">
        <v>9</v>
      </c>
      <c r="K71" s="144">
        <v>750</v>
      </c>
      <c r="L71" s="145"/>
    </row>
    <row r="72" spans="1:12" ht="11.25" customHeight="1">
      <c r="A72" s="142" t="s">
        <v>103</v>
      </c>
      <c r="B72" s="129"/>
      <c r="C72" s="144">
        <v>2</v>
      </c>
      <c r="D72" s="145"/>
      <c r="E72" s="148" t="s">
        <v>12</v>
      </c>
      <c r="F72" s="145"/>
      <c r="G72" s="148" t="s">
        <v>12</v>
      </c>
      <c r="H72" s="145"/>
      <c r="I72" s="148" t="s">
        <v>12</v>
      </c>
      <c r="J72" s="145"/>
      <c r="K72" s="148" t="s">
        <v>12</v>
      </c>
      <c r="L72" s="145"/>
    </row>
    <row r="73" spans="1:12" ht="11.25" customHeight="1">
      <c r="A73" s="142" t="s">
        <v>35</v>
      </c>
      <c r="B73" s="129"/>
      <c r="C73" s="144">
        <v>644</v>
      </c>
      <c r="D73" s="145"/>
      <c r="E73" s="144">
        <v>611</v>
      </c>
      <c r="F73" s="145"/>
      <c r="G73" s="144">
        <v>620</v>
      </c>
      <c r="H73" s="145"/>
      <c r="I73" s="144">
        <v>635</v>
      </c>
      <c r="J73" s="146" t="s">
        <v>8</v>
      </c>
      <c r="K73" s="144">
        <v>694</v>
      </c>
      <c r="L73" s="145"/>
    </row>
    <row r="74" spans="1:12" ht="11.25" customHeight="1">
      <c r="A74" s="142" t="s">
        <v>279</v>
      </c>
      <c r="B74" s="129"/>
      <c r="C74" s="144">
        <v>494</v>
      </c>
      <c r="D74" s="146" t="s">
        <v>309</v>
      </c>
      <c r="E74" s="144">
        <v>500</v>
      </c>
      <c r="F74" s="145"/>
      <c r="G74" s="144">
        <v>500</v>
      </c>
      <c r="H74" s="145"/>
      <c r="I74" s="144">
        <v>500</v>
      </c>
      <c r="J74" s="145"/>
      <c r="K74" s="144">
        <v>500</v>
      </c>
      <c r="L74" s="145"/>
    </row>
    <row r="75" spans="1:12" ht="11.25" customHeight="1">
      <c r="A75" s="142" t="s">
        <v>280</v>
      </c>
      <c r="B75" s="129"/>
      <c r="C75" s="144">
        <v>56.243000000000002</v>
      </c>
      <c r="D75" s="145"/>
      <c r="E75" s="144">
        <v>55.689</v>
      </c>
      <c r="F75" s="145"/>
      <c r="G75" s="144">
        <v>76.784000000000006</v>
      </c>
      <c r="H75" s="145"/>
      <c r="I75" s="144">
        <v>70.7</v>
      </c>
      <c r="J75" s="146" t="s">
        <v>8</v>
      </c>
      <c r="K75" s="144">
        <v>80.099999999999994</v>
      </c>
      <c r="L75" s="146" t="s">
        <v>309</v>
      </c>
    </row>
    <row r="76" spans="1:12" ht="11.25" customHeight="1">
      <c r="A76" s="142" t="s">
        <v>36</v>
      </c>
      <c r="B76" s="129"/>
      <c r="C76" s="144">
        <v>630.68700000000001</v>
      </c>
      <c r="D76" s="145"/>
      <c r="E76" s="144">
        <v>558.697</v>
      </c>
      <c r="F76" s="145"/>
      <c r="G76" s="144">
        <v>749.08199999999999</v>
      </c>
      <c r="H76" s="145"/>
      <c r="I76" s="144">
        <v>750</v>
      </c>
      <c r="J76" s="146" t="s">
        <v>9</v>
      </c>
      <c r="K76" s="144">
        <v>750</v>
      </c>
      <c r="L76" s="145"/>
    </row>
    <row r="77" spans="1:12" ht="11.25" customHeight="1">
      <c r="A77" s="142" t="s">
        <v>237</v>
      </c>
      <c r="B77" s="129"/>
      <c r="C77" s="144">
        <v>880</v>
      </c>
      <c r="D77" s="145"/>
      <c r="E77" s="144">
        <v>530</v>
      </c>
      <c r="F77" s="145"/>
      <c r="G77" s="144">
        <v>530</v>
      </c>
      <c r="H77" s="146" t="s">
        <v>9</v>
      </c>
      <c r="I77" s="144">
        <v>530</v>
      </c>
      <c r="J77" s="146" t="s">
        <v>9</v>
      </c>
      <c r="K77" s="144">
        <v>530</v>
      </c>
      <c r="L77" s="145"/>
    </row>
    <row r="78" spans="1:12" ht="11.25" customHeight="1">
      <c r="A78" s="142" t="s">
        <v>281</v>
      </c>
      <c r="B78" s="129"/>
      <c r="C78" s="144">
        <v>9915</v>
      </c>
      <c r="D78" s="145"/>
      <c r="E78" s="144">
        <v>8853.2109999999993</v>
      </c>
      <c r="F78" s="145"/>
      <c r="G78" s="144">
        <v>10498.2</v>
      </c>
      <c r="H78" s="145"/>
      <c r="I78" s="144">
        <v>8809.2000000000007</v>
      </c>
      <c r="J78" s="146" t="s">
        <v>8</v>
      </c>
      <c r="K78" s="144">
        <v>8369</v>
      </c>
      <c r="L78" s="146" t="s">
        <v>309</v>
      </c>
    </row>
    <row r="79" spans="1:12" ht="11.25" customHeight="1">
      <c r="A79" s="142" t="s">
        <v>340</v>
      </c>
      <c r="B79" s="129"/>
      <c r="C79" s="144">
        <v>854</v>
      </c>
      <c r="D79" s="145"/>
      <c r="E79" s="144">
        <v>1044</v>
      </c>
      <c r="F79" s="145"/>
      <c r="G79" s="144">
        <v>1060</v>
      </c>
      <c r="H79" s="145"/>
      <c r="I79" s="144">
        <v>728</v>
      </c>
      <c r="J79" s="146" t="s">
        <v>8</v>
      </c>
      <c r="K79" s="144">
        <v>800</v>
      </c>
      <c r="L79" s="145"/>
    </row>
    <row r="80" spans="1:12" ht="11.25" customHeight="1">
      <c r="A80" s="142" t="s">
        <v>341</v>
      </c>
      <c r="B80" s="129"/>
      <c r="C80" s="144">
        <v>646</v>
      </c>
      <c r="D80" s="145"/>
      <c r="E80" s="144">
        <v>629</v>
      </c>
      <c r="F80" s="145"/>
      <c r="G80" s="144">
        <v>743.61500000000001</v>
      </c>
      <c r="H80" s="146" t="s">
        <v>8</v>
      </c>
      <c r="I80" s="144">
        <v>907.60799999999995</v>
      </c>
      <c r="J80" s="146" t="s">
        <v>8</v>
      </c>
      <c r="K80" s="144">
        <v>1000</v>
      </c>
      <c r="L80" s="145"/>
    </row>
    <row r="81" spans="1:12" ht="11.25" customHeight="1">
      <c r="A81" s="142" t="s">
        <v>85</v>
      </c>
      <c r="B81" s="129"/>
      <c r="C81" s="144">
        <v>6335</v>
      </c>
      <c r="D81" s="145"/>
      <c r="E81" s="144">
        <v>4391.7659999999996</v>
      </c>
      <c r="F81" s="145"/>
      <c r="G81" s="144">
        <v>4770.2169999999996</v>
      </c>
      <c r="H81" s="145"/>
      <c r="I81" s="144">
        <v>4930</v>
      </c>
      <c r="J81" s="146" t="s">
        <v>8</v>
      </c>
      <c r="K81" s="144">
        <v>5000</v>
      </c>
      <c r="L81" s="145"/>
    </row>
    <row r="82" spans="1:12" ht="11.25" customHeight="1">
      <c r="A82" s="142" t="s">
        <v>37</v>
      </c>
      <c r="B82" s="129"/>
      <c r="C82" s="144">
        <v>43821.8</v>
      </c>
      <c r="D82" s="145"/>
      <c r="E82" s="144">
        <v>51524.1</v>
      </c>
      <c r="F82" s="145"/>
      <c r="G82" s="144">
        <v>59097.5</v>
      </c>
      <c r="H82" s="145"/>
      <c r="I82" s="144">
        <v>59029.7</v>
      </c>
      <c r="J82" s="146" t="s">
        <v>8</v>
      </c>
      <c r="K82" s="144">
        <v>59776.6</v>
      </c>
      <c r="L82" s="146" t="s">
        <v>309</v>
      </c>
    </row>
    <row r="83" spans="1:12" ht="11.25" customHeight="1">
      <c r="A83" s="142" t="s">
        <v>342</v>
      </c>
      <c r="B83" s="129"/>
      <c r="C83" s="144">
        <v>2356</v>
      </c>
      <c r="D83" s="145"/>
      <c r="E83" s="144">
        <v>2610</v>
      </c>
      <c r="F83" s="145"/>
      <c r="G83" s="144">
        <v>2973</v>
      </c>
      <c r="H83" s="145"/>
      <c r="I83" s="144">
        <v>3413</v>
      </c>
      <c r="J83" s="146" t="s">
        <v>8</v>
      </c>
      <c r="K83" s="144">
        <v>3800</v>
      </c>
      <c r="L83" s="145"/>
    </row>
    <row r="84" spans="1:12" ht="11.25" customHeight="1">
      <c r="A84" s="142" t="s">
        <v>343</v>
      </c>
      <c r="B84" s="129"/>
      <c r="C84" s="144">
        <v>949.31399999999996</v>
      </c>
      <c r="D84" s="145"/>
      <c r="E84" s="144">
        <v>226.24</v>
      </c>
      <c r="F84" s="145"/>
      <c r="G84" s="144">
        <v>682</v>
      </c>
      <c r="H84" s="145"/>
      <c r="I84" s="144">
        <v>598</v>
      </c>
      <c r="J84" s="145"/>
      <c r="K84" s="144">
        <v>596</v>
      </c>
      <c r="L84" s="145"/>
    </row>
    <row r="85" spans="1:12" ht="11.25" customHeight="1">
      <c r="A85" s="142" t="s">
        <v>344</v>
      </c>
      <c r="B85" s="129"/>
      <c r="C85" s="144">
        <v>500</v>
      </c>
      <c r="D85" s="145"/>
      <c r="E85" s="144">
        <v>500</v>
      </c>
      <c r="F85" s="145"/>
      <c r="G85" s="144">
        <v>500</v>
      </c>
      <c r="H85" s="145"/>
      <c r="I85" s="144">
        <v>400</v>
      </c>
      <c r="J85" s="145"/>
      <c r="K85" s="144">
        <v>400</v>
      </c>
      <c r="L85" s="145"/>
    </row>
    <row r="86" spans="1:12" ht="11.25" customHeight="1">
      <c r="A86" s="142" t="s">
        <v>38</v>
      </c>
      <c r="B86" s="129"/>
      <c r="C86" s="144">
        <v>3428</v>
      </c>
      <c r="D86" s="145"/>
      <c r="E86" s="144">
        <v>3569</v>
      </c>
      <c r="F86" s="145"/>
      <c r="G86" s="144">
        <v>3447</v>
      </c>
      <c r="H86" s="146" t="s">
        <v>8</v>
      </c>
      <c r="I86" s="144">
        <v>3676</v>
      </c>
      <c r="J86" s="146" t="s">
        <v>8</v>
      </c>
      <c r="K86" s="144">
        <v>3700</v>
      </c>
      <c r="L86" s="145"/>
    </row>
    <row r="87" spans="1:12" ht="11.25" customHeight="1">
      <c r="A87" s="142" t="s">
        <v>345</v>
      </c>
      <c r="B87" s="129"/>
      <c r="C87" s="144">
        <v>405.21</v>
      </c>
      <c r="D87" s="145"/>
      <c r="E87" s="144">
        <v>405</v>
      </c>
      <c r="F87" s="145"/>
      <c r="G87" s="144">
        <v>519</v>
      </c>
      <c r="H87" s="145"/>
      <c r="I87" s="144">
        <v>462</v>
      </c>
      <c r="J87" s="146" t="s">
        <v>8</v>
      </c>
      <c r="K87" s="144">
        <v>480</v>
      </c>
      <c r="L87" s="145"/>
    </row>
    <row r="88" spans="1:12" ht="11.25" customHeight="1">
      <c r="A88" s="142" t="s">
        <v>240</v>
      </c>
      <c r="B88" s="129"/>
      <c r="C88" s="144">
        <v>7506</v>
      </c>
      <c r="D88" s="145"/>
      <c r="E88" s="144">
        <v>6830</v>
      </c>
      <c r="F88" s="145"/>
      <c r="G88" s="144">
        <v>8481</v>
      </c>
      <c r="H88" s="145"/>
      <c r="I88" s="144">
        <v>8821</v>
      </c>
      <c r="J88" s="145"/>
      <c r="K88" s="144">
        <v>9000</v>
      </c>
      <c r="L88" s="145"/>
    </row>
    <row r="89" spans="1:12" ht="11.25" customHeight="1">
      <c r="A89" s="142" t="s">
        <v>288</v>
      </c>
      <c r="B89" s="129"/>
      <c r="C89" s="144">
        <v>14827</v>
      </c>
      <c r="D89" s="145"/>
      <c r="E89" s="144">
        <v>14886</v>
      </c>
      <c r="F89" s="145"/>
      <c r="G89" s="144">
        <v>15920</v>
      </c>
      <c r="H89" s="145"/>
      <c r="I89" s="144">
        <v>16500</v>
      </c>
      <c r="J89" s="146" t="s">
        <v>8</v>
      </c>
      <c r="K89" s="144">
        <v>16358</v>
      </c>
      <c r="L89" s="146" t="s">
        <v>309</v>
      </c>
    </row>
    <row r="90" spans="1:12" ht="11.25" customHeight="1">
      <c r="A90" s="142" t="s">
        <v>346</v>
      </c>
      <c r="B90" s="129"/>
      <c r="C90" s="144">
        <v>30</v>
      </c>
      <c r="D90" s="145"/>
      <c r="E90" s="144">
        <v>30</v>
      </c>
      <c r="F90" s="145"/>
      <c r="G90" s="144">
        <v>30</v>
      </c>
      <c r="H90" s="145"/>
      <c r="I90" s="144">
        <v>30</v>
      </c>
      <c r="J90" s="145"/>
      <c r="K90" s="144">
        <v>30</v>
      </c>
      <c r="L90" s="145"/>
    </row>
    <row r="91" spans="1:12" ht="11.25" customHeight="1">
      <c r="A91" s="142" t="s">
        <v>39</v>
      </c>
      <c r="B91" s="129"/>
      <c r="C91" s="144">
        <v>5062</v>
      </c>
      <c r="D91" s="145"/>
      <c r="E91" s="144">
        <v>5075</v>
      </c>
      <c r="F91" s="145"/>
      <c r="G91" s="144">
        <v>5227</v>
      </c>
      <c r="H91" s="145"/>
      <c r="I91" s="144">
        <v>5518</v>
      </c>
      <c r="J91" s="146" t="s">
        <v>8</v>
      </c>
      <c r="K91" s="144">
        <v>5754</v>
      </c>
      <c r="L91" s="146" t="s">
        <v>309</v>
      </c>
    </row>
    <row r="92" spans="1:12" ht="11.25" customHeight="1">
      <c r="A92" s="142" t="s">
        <v>347</v>
      </c>
      <c r="B92" s="129"/>
      <c r="C92" s="144">
        <v>1018</v>
      </c>
      <c r="D92" s="145"/>
      <c r="E92" s="144">
        <v>1037.4000000000001</v>
      </c>
      <c r="F92" s="145"/>
      <c r="G92" s="144">
        <v>1140</v>
      </c>
      <c r="H92" s="145"/>
      <c r="I92" s="144">
        <v>1000</v>
      </c>
      <c r="J92" s="145"/>
      <c r="K92" s="144">
        <v>1000</v>
      </c>
      <c r="L92" s="145"/>
    </row>
    <row r="93" spans="1:12" ht="11.25" customHeight="1">
      <c r="A93" s="142" t="s">
        <v>348</v>
      </c>
      <c r="B93" s="129"/>
      <c r="C93" s="144">
        <v>70</v>
      </c>
      <c r="D93" s="145"/>
      <c r="E93" s="144">
        <v>70</v>
      </c>
      <c r="F93" s="145"/>
      <c r="G93" s="144">
        <v>70</v>
      </c>
      <c r="H93" s="145"/>
      <c r="I93" s="144">
        <v>70</v>
      </c>
      <c r="J93" s="145"/>
      <c r="K93" s="144">
        <v>70</v>
      </c>
      <c r="L93" s="145"/>
    </row>
    <row r="94" spans="1:12" ht="11.25" customHeight="1">
      <c r="A94" s="142" t="s">
        <v>349</v>
      </c>
      <c r="B94" s="129"/>
      <c r="C94" s="144">
        <v>17192</v>
      </c>
      <c r="D94" s="145"/>
      <c r="E94" s="144">
        <v>16027</v>
      </c>
      <c r="F94" s="145"/>
      <c r="G94" s="144">
        <v>17302.396000000001</v>
      </c>
      <c r="H94" s="145"/>
      <c r="I94" s="144">
        <v>17336</v>
      </c>
      <c r="J94" s="145"/>
      <c r="K94" s="144">
        <v>18255</v>
      </c>
      <c r="L94" s="146" t="s">
        <v>309</v>
      </c>
    </row>
    <row r="95" spans="1:12" ht="11.25" customHeight="1">
      <c r="A95" s="142" t="s">
        <v>40</v>
      </c>
      <c r="B95" s="129"/>
      <c r="C95" s="144">
        <v>1814.1469999999999</v>
      </c>
      <c r="D95" s="145"/>
      <c r="E95" s="144">
        <v>1532.16</v>
      </c>
      <c r="F95" s="146" t="s">
        <v>8</v>
      </c>
      <c r="G95" s="144">
        <v>2099.6329999999998</v>
      </c>
      <c r="H95" s="146"/>
      <c r="I95" s="144">
        <v>2127</v>
      </c>
      <c r="J95" s="146" t="s">
        <v>8</v>
      </c>
      <c r="K95" s="144">
        <v>2200</v>
      </c>
      <c r="L95" s="145"/>
    </row>
    <row r="96" spans="1:12" ht="11.25" customHeight="1">
      <c r="A96" s="142" t="s">
        <v>350</v>
      </c>
      <c r="B96" s="129"/>
      <c r="C96" s="144">
        <v>809.27</v>
      </c>
      <c r="D96" s="146" t="s">
        <v>8</v>
      </c>
      <c r="E96" s="144">
        <v>762.19899999999996</v>
      </c>
      <c r="F96" s="146" t="s">
        <v>8</v>
      </c>
      <c r="G96" s="144">
        <v>753.125</v>
      </c>
      <c r="H96" s="146" t="s">
        <v>8</v>
      </c>
      <c r="I96" s="144">
        <v>696.11099999999999</v>
      </c>
      <c r="J96" s="146" t="s">
        <v>8</v>
      </c>
      <c r="K96" s="144">
        <v>696.1</v>
      </c>
      <c r="L96" s="145"/>
    </row>
    <row r="97" spans="1:12" ht="11.25" customHeight="1">
      <c r="A97" s="142" t="s">
        <v>42</v>
      </c>
      <c r="B97" s="129"/>
      <c r="C97" s="144">
        <v>171</v>
      </c>
      <c r="D97" s="145"/>
      <c r="E97" s="144">
        <v>229</v>
      </c>
      <c r="F97" s="145"/>
      <c r="G97" s="144">
        <v>237</v>
      </c>
      <c r="H97" s="145"/>
      <c r="I97" s="144">
        <v>239</v>
      </c>
      <c r="J97" s="146" t="s">
        <v>8</v>
      </c>
      <c r="K97" s="144">
        <v>220</v>
      </c>
      <c r="L97" s="145"/>
    </row>
    <row r="98" spans="1:12" ht="11.25" customHeight="1">
      <c r="A98" s="142" t="s">
        <v>45</v>
      </c>
      <c r="B98" s="129"/>
      <c r="C98" s="144">
        <v>13351</v>
      </c>
      <c r="D98" s="145"/>
      <c r="E98" s="144">
        <v>14308.629000000001</v>
      </c>
      <c r="F98" s="145"/>
      <c r="G98" s="144">
        <v>14325</v>
      </c>
      <c r="H98" s="145"/>
      <c r="I98" s="144">
        <v>14900</v>
      </c>
      <c r="J98" s="145"/>
      <c r="K98" s="144">
        <v>16000</v>
      </c>
      <c r="L98" s="145"/>
    </row>
    <row r="99" spans="1:12" ht="11.25" customHeight="1">
      <c r="A99" s="142" t="s">
        <v>351</v>
      </c>
      <c r="B99" s="129"/>
      <c r="C99" s="144">
        <v>7.4</v>
      </c>
      <c r="D99" s="145"/>
      <c r="E99" s="144">
        <v>7.9</v>
      </c>
      <c r="F99" s="145"/>
      <c r="G99" s="144">
        <v>7</v>
      </c>
      <c r="H99" s="145"/>
      <c r="I99" s="144">
        <v>7</v>
      </c>
      <c r="J99" s="145"/>
      <c r="K99" s="144">
        <v>7</v>
      </c>
      <c r="L99" s="145"/>
    </row>
    <row r="100" spans="1:12" ht="11.25" customHeight="1">
      <c r="A100" s="142" t="s">
        <v>49</v>
      </c>
      <c r="B100" s="129"/>
      <c r="C100" s="144">
        <v>23461</v>
      </c>
      <c r="D100" s="145"/>
      <c r="E100" s="144">
        <v>27390</v>
      </c>
      <c r="F100" s="145"/>
      <c r="G100" s="144">
        <v>31780</v>
      </c>
      <c r="H100" s="145"/>
      <c r="I100" s="144">
        <v>33110</v>
      </c>
      <c r="J100" s="145"/>
      <c r="K100" s="144">
        <v>34538</v>
      </c>
      <c r="L100" s="146" t="s">
        <v>309</v>
      </c>
    </row>
    <row r="101" spans="1:12" ht="11.25" customHeight="1">
      <c r="A101" s="142" t="s">
        <v>50</v>
      </c>
      <c r="B101" s="129"/>
      <c r="C101" s="144">
        <v>17066</v>
      </c>
      <c r="D101" s="145"/>
      <c r="E101" s="144">
        <v>16634</v>
      </c>
      <c r="F101" s="145"/>
      <c r="G101" s="144">
        <v>15022</v>
      </c>
      <c r="H101" s="145"/>
      <c r="I101" s="144">
        <v>13610</v>
      </c>
      <c r="J101" s="146" t="s">
        <v>8</v>
      </c>
      <c r="K101" s="144">
        <v>11718</v>
      </c>
      <c r="L101" s="146" t="s">
        <v>309</v>
      </c>
    </row>
    <row r="102" spans="1:12" ht="11.25" customHeight="1">
      <c r="A102" s="142" t="s">
        <v>51</v>
      </c>
      <c r="B102" s="129"/>
      <c r="C102" s="144">
        <v>98600</v>
      </c>
      <c r="D102" s="145"/>
      <c r="E102" s="144">
        <v>97400</v>
      </c>
      <c r="F102" s="146" t="s">
        <v>8</v>
      </c>
      <c r="G102" s="144">
        <v>102000</v>
      </c>
      <c r="H102" s="145"/>
      <c r="I102" s="144">
        <v>90100</v>
      </c>
      <c r="J102" s="145"/>
      <c r="K102" s="144">
        <v>91600</v>
      </c>
      <c r="L102" s="146" t="s">
        <v>309</v>
      </c>
    </row>
    <row r="103" spans="1:12" ht="11.25" customHeight="1">
      <c r="A103" s="142" t="s">
        <v>352</v>
      </c>
      <c r="B103" s="129"/>
      <c r="C103" s="144">
        <v>52.012</v>
      </c>
      <c r="D103" s="145"/>
      <c r="E103" s="144">
        <v>45.404000000000003</v>
      </c>
      <c r="F103" s="145"/>
      <c r="G103" s="144">
        <v>38.101999999999997</v>
      </c>
      <c r="H103" s="145"/>
      <c r="I103" s="144">
        <v>30.89</v>
      </c>
      <c r="J103" s="145"/>
      <c r="K103" s="144">
        <v>34.4</v>
      </c>
      <c r="L103" s="146" t="s">
        <v>309</v>
      </c>
    </row>
    <row r="104" spans="1:12" ht="11.25" customHeight="1">
      <c r="A104" s="142" t="s">
        <v>353</v>
      </c>
      <c r="B104" s="129"/>
      <c r="C104" s="144">
        <v>344</v>
      </c>
      <c r="D104" s="145"/>
      <c r="E104" s="144">
        <v>343</v>
      </c>
      <c r="F104" s="146" t="s">
        <v>9</v>
      </c>
      <c r="G104" s="144">
        <v>420</v>
      </c>
      <c r="H104" s="145"/>
      <c r="I104" s="144">
        <v>460</v>
      </c>
      <c r="J104" s="145"/>
      <c r="K104" s="144">
        <v>450</v>
      </c>
      <c r="L104" s="145"/>
    </row>
    <row r="105" spans="1:12" ht="11.25" customHeight="1">
      <c r="A105" s="142" t="s">
        <v>52</v>
      </c>
      <c r="B105" s="129"/>
      <c r="C105" s="144">
        <v>3553.3150000000001</v>
      </c>
      <c r="D105" s="145"/>
      <c r="E105" s="144">
        <v>3261.3649999999998</v>
      </c>
      <c r="F105" s="145"/>
      <c r="G105" s="144">
        <v>3834.5749999999998</v>
      </c>
      <c r="H105" s="145"/>
      <c r="I105" s="144">
        <v>3812.7</v>
      </c>
      <c r="J105" s="146" t="s">
        <v>8</v>
      </c>
      <c r="K105" s="144">
        <v>4163.8999999999996</v>
      </c>
      <c r="L105" s="146" t="s">
        <v>309</v>
      </c>
    </row>
    <row r="106" spans="1:12" ht="11.25" customHeight="1">
      <c r="A106" s="142" t="s">
        <v>86</v>
      </c>
      <c r="B106" s="129"/>
      <c r="C106" s="144">
        <v>306.25599999999997</v>
      </c>
      <c r="D106" s="145"/>
      <c r="E106" s="144">
        <v>308.30500000000001</v>
      </c>
      <c r="F106" s="145"/>
      <c r="G106" s="144">
        <v>305.88099999999997</v>
      </c>
      <c r="H106" s="145"/>
      <c r="I106" s="144">
        <v>318.77999999999997</v>
      </c>
      <c r="J106" s="146" t="s">
        <v>8</v>
      </c>
      <c r="K106" s="144">
        <v>320</v>
      </c>
      <c r="L106" s="145"/>
    </row>
    <row r="107" spans="1:12" ht="11.25" customHeight="1">
      <c r="A107" s="142" t="s">
        <v>295</v>
      </c>
      <c r="B107" s="129"/>
      <c r="C107" s="157">
        <v>220</v>
      </c>
      <c r="D107" s="145"/>
      <c r="E107" s="157">
        <v>255</v>
      </c>
      <c r="F107" s="145"/>
      <c r="G107" s="157">
        <v>258</v>
      </c>
      <c r="H107" s="145"/>
      <c r="I107" s="157">
        <v>156</v>
      </c>
      <c r="J107" s="145"/>
      <c r="K107" s="157">
        <v>150</v>
      </c>
      <c r="L107" s="145"/>
    </row>
    <row r="108" spans="1:12" ht="11.25" customHeight="1">
      <c r="A108" s="142" t="s">
        <v>354</v>
      </c>
      <c r="B108" s="150"/>
      <c r="C108" s="158">
        <v>770000</v>
      </c>
      <c r="D108" s="159" t="s">
        <v>8</v>
      </c>
      <c r="E108" s="158">
        <v>784000</v>
      </c>
      <c r="F108" s="159" t="s">
        <v>8</v>
      </c>
      <c r="G108" s="158">
        <v>845000</v>
      </c>
      <c r="H108" s="159" t="s">
        <v>8</v>
      </c>
      <c r="I108" s="158">
        <v>847000</v>
      </c>
      <c r="J108" s="159" t="s">
        <v>8</v>
      </c>
      <c r="K108" s="158">
        <v>898000</v>
      </c>
      <c r="L108" s="160"/>
    </row>
    <row r="109" spans="1:12" ht="11.25" customHeight="1">
      <c r="A109" s="438" t="s">
        <v>355</v>
      </c>
      <c r="B109" s="439"/>
      <c r="C109" s="439"/>
      <c r="D109" s="439"/>
      <c r="E109" s="439"/>
      <c r="F109" s="439"/>
      <c r="G109" s="439"/>
      <c r="H109" s="439"/>
      <c r="I109" s="439"/>
      <c r="J109" s="439"/>
      <c r="K109" s="439"/>
      <c r="L109" s="439"/>
    </row>
    <row r="110" spans="1:12" ht="11.25" customHeight="1">
      <c r="A110" s="440" t="s">
        <v>356</v>
      </c>
      <c r="B110" s="399"/>
      <c r="C110" s="399"/>
      <c r="D110" s="399"/>
      <c r="E110" s="399"/>
      <c r="F110" s="399"/>
      <c r="G110" s="399"/>
      <c r="H110" s="399"/>
      <c r="I110" s="399"/>
      <c r="J110" s="399"/>
      <c r="K110" s="399"/>
      <c r="L110" s="399"/>
    </row>
    <row r="111" spans="1:12" ht="11.25" customHeight="1">
      <c r="A111" s="440" t="s">
        <v>357</v>
      </c>
      <c r="B111" s="399"/>
      <c r="C111" s="399"/>
      <c r="D111" s="399"/>
      <c r="E111" s="399"/>
      <c r="F111" s="399"/>
      <c r="G111" s="399"/>
      <c r="H111" s="399"/>
      <c r="I111" s="399"/>
      <c r="J111" s="399"/>
      <c r="K111" s="399"/>
      <c r="L111" s="399"/>
    </row>
    <row r="112" spans="1:12" ht="11.25" customHeight="1">
      <c r="A112" s="399" t="s">
        <v>358</v>
      </c>
      <c r="B112" s="399"/>
      <c r="C112" s="399"/>
      <c r="D112" s="399"/>
      <c r="E112" s="399"/>
      <c r="F112" s="399"/>
      <c r="G112" s="399"/>
      <c r="H112" s="399"/>
      <c r="I112" s="399"/>
      <c r="J112" s="399"/>
      <c r="K112" s="399"/>
      <c r="L112" s="399"/>
    </row>
    <row r="113" spans="1:12" ht="11.25" customHeight="1">
      <c r="A113" s="440" t="s">
        <v>359</v>
      </c>
      <c r="B113" s="399"/>
      <c r="C113" s="399"/>
      <c r="D113" s="399"/>
      <c r="E113" s="399"/>
      <c r="F113" s="399"/>
      <c r="G113" s="399"/>
      <c r="H113" s="399"/>
      <c r="I113" s="399"/>
      <c r="J113" s="399"/>
      <c r="K113" s="399"/>
      <c r="L113" s="399"/>
    </row>
    <row r="114" spans="1:12" ht="11.25" customHeight="1">
      <c r="A114" s="440" t="s">
        <v>360</v>
      </c>
      <c r="B114" s="399"/>
      <c r="C114" s="399"/>
      <c r="D114" s="399"/>
      <c r="E114" s="399"/>
      <c r="F114" s="399"/>
      <c r="G114" s="399"/>
      <c r="H114" s="399"/>
      <c r="I114" s="399"/>
      <c r="J114" s="399"/>
      <c r="K114" s="399"/>
      <c r="L114" s="399"/>
    </row>
    <row r="115" spans="1:12" ht="11.25" customHeight="1">
      <c r="A115" s="399" t="s">
        <v>361</v>
      </c>
      <c r="B115" s="399"/>
      <c r="C115" s="399"/>
      <c r="D115" s="399"/>
      <c r="E115" s="399"/>
      <c r="F115" s="399"/>
      <c r="G115" s="399"/>
      <c r="H115" s="399"/>
      <c r="I115" s="399"/>
      <c r="J115" s="399"/>
      <c r="K115" s="399"/>
      <c r="L115" s="399"/>
    </row>
    <row r="116" spans="1:12" ht="11.25" customHeight="1">
      <c r="A116" s="440" t="s">
        <v>62</v>
      </c>
      <c r="B116" s="399"/>
      <c r="C116" s="399"/>
      <c r="D116" s="399"/>
      <c r="E116" s="399"/>
      <c r="F116" s="399"/>
      <c r="G116" s="399"/>
      <c r="H116" s="399"/>
      <c r="I116" s="399"/>
      <c r="J116" s="399"/>
      <c r="K116" s="399"/>
      <c r="L116" s="399"/>
    </row>
    <row r="117" spans="1:12" ht="11.25" customHeight="1">
      <c r="A117" s="440" t="s">
        <v>362</v>
      </c>
      <c r="B117" s="399"/>
      <c r="C117" s="399"/>
      <c r="D117" s="399"/>
      <c r="E117" s="399"/>
      <c r="F117" s="399"/>
      <c r="G117" s="399"/>
      <c r="H117" s="399"/>
      <c r="I117" s="399"/>
      <c r="J117" s="399"/>
      <c r="K117" s="399"/>
      <c r="L117" s="399"/>
    </row>
    <row r="118" spans="1:12" ht="11.25" customHeight="1">
      <c r="A118" s="440" t="s">
        <v>363</v>
      </c>
      <c r="B118" s="399"/>
      <c r="C118" s="399"/>
      <c r="D118" s="399"/>
      <c r="E118" s="399"/>
      <c r="F118" s="399"/>
      <c r="G118" s="399"/>
      <c r="H118" s="399"/>
      <c r="I118" s="399"/>
      <c r="J118" s="399"/>
      <c r="K118" s="399"/>
      <c r="L118" s="399"/>
    </row>
    <row r="119" spans="1:12" ht="11.25" customHeight="1">
      <c r="A119" s="440" t="s">
        <v>364</v>
      </c>
      <c r="B119" s="399"/>
      <c r="C119" s="399"/>
      <c r="D119" s="399"/>
      <c r="E119" s="399"/>
      <c r="F119" s="399"/>
      <c r="G119" s="399"/>
      <c r="H119" s="399"/>
      <c r="I119" s="399"/>
      <c r="J119" s="399"/>
      <c r="K119" s="399"/>
      <c r="L119" s="399"/>
    </row>
    <row r="120" spans="1:12" ht="11.25" customHeight="1">
      <c r="A120" s="161"/>
      <c r="B120" s="162"/>
      <c r="C120" s="163"/>
      <c r="D120" s="162"/>
      <c r="E120" s="163"/>
      <c r="F120" s="162"/>
      <c r="G120" s="163"/>
      <c r="H120" s="162"/>
      <c r="I120" s="163"/>
      <c r="J120" s="162"/>
      <c r="K120" s="163"/>
      <c r="L120" s="162"/>
    </row>
    <row r="121" spans="1:12">
      <c r="A121" s="162"/>
      <c r="B121" s="162"/>
      <c r="C121" s="163"/>
      <c r="D121" s="162"/>
      <c r="E121" s="163"/>
      <c r="F121" s="162"/>
      <c r="G121" s="163"/>
      <c r="H121" s="162"/>
      <c r="I121" s="163"/>
      <c r="J121" s="162"/>
      <c r="K121" s="163"/>
      <c r="L121" s="162"/>
    </row>
  </sheetData>
  <mergeCells count="22">
    <mergeCell ref="A116:L116"/>
    <mergeCell ref="A117:L117"/>
    <mergeCell ref="A118:L118"/>
    <mergeCell ref="A119:L119"/>
    <mergeCell ref="A110:L110"/>
    <mergeCell ref="A111:L111"/>
    <mergeCell ref="A112:L112"/>
    <mergeCell ref="A113:L113"/>
    <mergeCell ref="A114:L114"/>
    <mergeCell ref="A115:L115"/>
    <mergeCell ref="A109:L109"/>
    <mergeCell ref="A1:L1"/>
    <mergeCell ref="A2:L2"/>
    <mergeCell ref="A3:L3"/>
    <mergeCell ref="A4:L4"/>
    <mergeCell ref="A5:L5"/>
    <mergeCell ref="A63:L63"/>
    <mergeCell ref="A64:L64"/>
    <mergeCell ref="A65:L65"/>
    <mergeCell ref="A66:L66"/>
    <mergeCell ref="A67:L67"/>
    <mergeCell ref="A68:L68"/>
  </mergeCells>
  <printOptions horizontalCentered="1"/>
  <pageMargins left="0.5" right="0.5" top="0.5" bottom="0.75" header="0.5" footer="0.5"/>
  <pageSetup orientation="portrait" horizontalDpi="1200" verticalDpi="1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941E-DA8B-0441-9183-14217011B0B5}">
  <dimension ref="A1:L134"/>
  <sheetViews>
    <sheetView topLeftCell="A4" workbookViewId="0">
      <selection activeCell="U28" sqref="U28"/>
    </sheetView>
  </sheetViews>
  <sheetFormatPr baseColWidth="10" defaultColWidth="6.1640625" defaultRowHeight="11.25" customHeight="1"/>
  <cols>
    <col min="1" max="1" width="29.1640625" style="205" customWidth="1"/>
    <col min="2" max="2" width="1.1640625" style="205" customWidth="1"/>
    <col min="3" max="3" width="6.1640625" style="205"/>
    <col min="4" max="4" width="1.1640625" style="205" customWidth="1"/>
    <col min="5" max="5" width="6.1640625" style="205"/>
    <col min="6" max="6" width="1.1640625" style="205" customWidth="1"/>
    <col min="7" max="7" width="6.1640625" style="205"/>
    <col min="8" max="8" width="1.1640625" style="205" customWidth="1"/>
    <col min="9" max="9" width="6.1640625" style="205"/>
    <col min="10" max="10" width="1.1640625" style="205" customWidth="1"/>
    <col min="11" max="11" width="6.1640625" style="205"/>
    <col min="12" max="12" width="1.1640625" style="205" customWidth="1"/>
    <col min="13" max="256" width="6.1640625" style="205"/>
    <col min="257" max="257" width="29.1640625" style="205" customWidth="1"/>
    <col min="258" max="258" width="1.1640625" style="205" customWidth="1"/>
    <col min="259" max="259" width="6.1640625" style="205"/>
    <col min="260" max="260" width="1.1640625" style="205" customWidth="1"/>
    <col min="261" max="261" width="6.1640625" style="205"/>
    <col min="262" max="262" width="1.1640625" style="205" customWidth="1"/>
    <col min="263" max="263" width="6.1640625" style="205"/>
    <col min="264" max="264" width="1.1640625" style="205" customWidth="1"/>
    <col min="265" max="265" width="6.1640625" style="205"/>
    <col min="266" max="266" width="1.1640625" style="205" customWidth="1"/>
    <col min="267" max="267" width="6.1640625" style="205"/>
    <col min="268" max="268" width="1.1640625" style="205" customWidth="1"/>
    <col min="269" max="512" width="6.1640625" style="205"/>
    <col min="513" max="513" width="29.1640625" style="205" customWidth="1"/>
    <col min="514" max="514" width="1.1640625" style="205" customWidth="1"/>
    <col min="515" max="515" width="6.1640625" style="205"/>
    <col min="516" max="516" width="1.1640625" style="205" customWidth="1"/>
    <col min="517" max="517" width="6.1640625" style="205"/>
    <col min="518" max="518" width="1.1640625" style="205" customWidth="1"/>
    <col min="519" max="519" width="6.1640625" style="205"/>
    <col min="520" max="520" width="1.1640625" style="205" customWidth="1"/>
    <col min="521" max="521" width="6.1640625" style="205"/>
    <col min="522" max="522" width="1.1640625" style="205" customWidth="1"/>
    <col min="523" max="523" width="6.1640625" style="205"/>
    <col min="524" max="524" width="1.1640625" style="205" customWidth="1"/>
    <col min="525" max="768" width="6.1640625" style="205"/>
    <col min="769" max="769" width="29.1640625" style="205" customWidth="1"/>
    <col min="770" max="770" width="1.1640625" style="205" customWidth="1"/>
    <col min="771" max="771" width="6.1640625" style="205"/>
    <col min="772" max="772" width="1.1640625" style="205" customWidth="1"/>
    <col min="773" max="773" width="6.1640625" style="205"/>
    <col min="774" max="774" width="1.1640625" style="205" customWidth="1"/>
    <col min="775" max="775" width="6.1640625" style="205"/>
    <col min="776" max="776" width="1.1640625" style="205" customWidth="1"/>
    <col min="777" max="777" width="6.1640625" style="205"/>
    <col min="778" max="778" width="1.1640625" style="205" customWidth="1"/>
    <col min="779" max="779" width="6.1640625" style="205"/>
    <col min="780" max="780" width="1.1640625" style="205" customWidth="1"/>
    <col min="781" max="1024" width="6.1640625" style="205"/>
    <col min="1025" max="1025" width="29.1640625" style="205" customWidth="1"/>
    <col min="1026" max="1026" width="1.1640625" style="205" customWidth="1"/>
    <col min="1027" max="1027" width="6.1640625" style="205"/>
    <col min="1028" max="1028" width="1.1640625" style="205" customWidth="1"/>
    <col min="1029" max="1029" width="6.1640625" style="205"/>
    <col min="1030" max="1030" width="1.1640625" style="205" customWidth="1"/>
    <col min="1031" max="1031" width="6.1640625" style="205"/>
    <col min="1032" max="1032" width="1.1640625" style="205" customWidth="1"/>
    <col min="1033" max="1033" width="6.1640625" style="205"/>
    <col min="1034" max="1034" width="1.1640625" style="205" customWidth="1"/>
    <col min="1035" max="1035" width="6.1640625" style="205"/>
    <col min="1036" max="1036" width="1.1640625" style="205" customWidth="1"/>
    <col min="1037" max="1280" width="6.1640625" style="205"/>
    <col min="1281" max="1281" width="29.1640625" style="205" customWidth="1"/>
    <col min="1282" max="1282" width="1.1640625" style="205" customWidth="1"/>
    <col min="1283" max="1283" width="6.1640625" style="205"/>
    <col min="1284" max="1284" width="1.1640625" style="205" customWidth="1"/>
    <col min="1285" max="1285" width="6.1640625" style="205"/>
    <col min="1286" max="1286" width="1.1640625" style="205" customWidth="1"/>
    <col min="1287" max="1287" width="6.1640625" style="205"/>
    <col min="1288" max="1288" width="1.1640625" style="205" customWidth="1"/>
    <col min="1289" max="1289" width="6.1640625" style="205"/>
    <col min="1290" max="1290" width="1.1640625" style="205" customWidth="1"/>
    <col min="1291" max="1291" width="6.1640625" style="205"/>
    <col min="1292" max="1292" width="1.1640625" style="205" customWidth="1"/>
    <col min="1293" max="1536" width="6.1640625" style="205"/>
    <col min="1537" max="1537" width="29.1640625" style="205" customWidth="1"/>
    <col min="1538" max="1538" width="1.1640625" style="205" customWidth="1"/>
    <col min="1539" max="1539" width="6.1640625" style="205"/>
    <col min="1540" max="1540" width="1.1640625" style="205" customWidth="1"/>
    <col min="1541" max="1541" width="6.1640625" style="205"/>
    <col min="1542" max="1542" width="1.1640625" style="205" customWidth="1"/>
    <col min="1543" max="1543" width="6.1640625" style="205"/>
    <col min="1544" max="1544" width="1.1640625" style="205" customWidth="1"/>
    <col min="1545" max="1545" width="6.1640625" style="205"/>
    <col min="1546" max="1546" width="1.1640625" style="205" customWidth="1"/>
    <col min="1547" max="1547" width="6.1640625" style="205"/>
    <col min="1548" max="1548" width="1.1640625" style="205" customWidth="1"/>
    <col min="1549" max="1792" width="6.1640625" style="205"/>
    <col min="1793" max="1793" width="29.1640625" style="205" customWidth="1"/>
    <col min="1794" max="1794" width="1.1640625" style="205" customWidth="1"/>
    <col min="1795" max="1795" width="6.1640625" style="205"/>
    <col min="1796" max="1796" width="1.1640625" style="205" customWidth="1"/>
    <col min="1797" max="1797" width="6.1640625" style="205"/>
    <col min="1798" max="1798" width="1.1640625" style="205" customWidth="1"/>
    <col min="1799" max="1799" width="6.1640625" style="205"/>
    <col min="1800" max="1800" width="1.1640625" style="205" customWidth="1"/>
    <col min="1801" max="1801" width="6.1640625" style="205"/>
    <col min="1802" max="1802" width="1.1640625" style="205" customWidth="1"/>
    <col min="1803" max="1803" width="6.1640625" style="205"/>
    <col min="1804" max="1804" width="1.1640625" style="205" customWidth="1"/>
    <col min="1805" max="2048" width="6.1640625" style="205"/>
    <col min="2049" max="2049" width="29.1640625" style="205" customWidth="1"/>
    <col min="2050" max="2050" width="1.1640625" style="205" customWidth="1"/>
    <col min="2051" max="2051" width="6.1640625" style="205"/>
    <col min="2052" max="2052" width="1.1640625" style="205" customWidth="1"/>
    <col min="2053" max="2053" width="6.1640625" style="205"/>
    <col min="2054" max="2054" width="1.1640625" style="205" customWidth="1"/>
    <col min="2055" max="2055" width="6.1640625" style="205"/>
    <col min="2056" max="2056" width="1.1640625" style="205" customWidth="1"/>
    <col min="2057" max="2057" width="6.1640625" style="205"/>
    <col min="2058" max="2058" width="1.1640625" style="205" customWidth="1"/>
    <col min="2059" max="2059" width="6.1640625" style="205"/>
    <col min="2060" max="2060" width="1.1640625" style="205" customWidth="1"/>
    <col min="2061" max="2304" width="6.1640625" style="205"/>
    <col min="2305" max="2305" width="29.1640625" style="205" customWidth="1"/>
    <col min="2306" max="2306" width="1.1640625" style="205" customWidth="1"/>
    <col min="2307" max="2307" width="6.1640625" style="205"/>
    <col min="2308" max="2308" width="1.1640625" style="205" customWidth="1"/>
    <col min="2309" max="2309" width="6.1640625" style="205"/>
    <col min="2310" max="2310" width="1.1640625" style="205" customWidth="1"/>
    <col min="2311" max="2311" width="6.1640625" style="205"/>
    <col min="2312" max="2312" width="1.1640625" style="205" customWidth="1"/>
    <col min="2313" max="2313" width="6.1640625" style="205"/>
    <col min="2314" max="2314" width="1.1640625" style="205" customWidth="1"/>
    <col min="2315" max="2315" width="6.1640625" style="205"/>
    <col min="2316" max="2316" width="1.1640625" style="205" customWidth="1"/>
    <col min="2317" max="2560" width="6.1640625" style="205"/>
    <col min="2561" max="2561" width="29.1640625" style="205" customWidth="1"/>
    <col min="2562" max="2562" width="1.1640625" style="205" customWidth="1"/>
    <col min="2563" max="2563" width="6.1640625" style="205"/>
    <col min="2564" max="2564" width="1.1640625" style="205" customWidth="1"/>
    <col min="2565" max="2565" width="6.1640625" style="205"/>
    <col min="2566" max="2566" width="1.1640625" style="205" customWidth="1"/>
    <col min="2567" max="2567" width="6.1640625" style="205"/>
    <col min="2568" max="2568" width="1.1640625" style="205" customWidth="1"/>
    <col min="2569" max="2569" width="6.1640625" style="205"/>
    <col min="2570" max="2570" width="1.1640625" style="205" customWidth="1"/>
    <col min="2571" max="2571" width="6.1640625" style="205"/>
    <col min="2572" max="2572" width="1.1640625" style="205" customWidth="1"/>
    <col min="2573" max="2816" width="6.1640625" style="205"/>
    <col min="2817" max="2817" width="29.1640625" style="205" customWidth="1"/>
    <col min="2818" max="2818" width="1.1640625" style="205" customWidth="1"/>
    <col min="2819" max="2819" width="6.1640625" style="205"/>
    <col min="2820" max="2820" width="1.1640625" style="205" customWidth="1"/>
    <col min="2821" max="2821" width="6.1640625" style="205"/>
    <col min="2822" max="2822" width="1.1640625" style="205" customWidth="1"/>
    <col min="2823" max="2823" width="6.1640625" style="205"/>
    <col min="2824" max="2824" width="1.1640625" style="205" customWidth="1"/>
    <col min="2825" max="2825" width="6.1640625" style="205"/>
    <col min="2826" max="2826" width="1.1640625" style="205" customWidth="1"/>
    <col min="2827" max="2827" width="6.1640625" style="205"/>
    <col min="2828" max="2828" width="1.1640625" style="205" customWidth="1"/>
    <col min="2829" max="3072" width="6.1640625" style="205"/>
    <col min="3073" max="3073" width="29.1640625" style="205" customWidth="1"/>
    <col min="3074" max="3074" width="1.1640625" style="205" customWidth="1"/>
    <col min="3075" max="3075" width="6.1640625" style="205"/>
    <col min="3076" max="3076" width="1.1640625" style="205" customWidth="1"/>
    <col min="3077" max="3077" width="6.1640625" style="205"/>
    <col min="3078" max="3078" width="1.1640625" style="205" customWidth="1"/>
    <col min="3079" max="3079" width="6.1640625" style="205"/>
    <col min="3080" max="3080" width="1.1640625" style="205" customWidth="1"/>
    <col min="3081" max="3081" width="6.1640625" style="205"/>
    <col min="3082" max="3082" width="1.1640625" style="205" customWidth="1"/>
    <col min="3083" max="3083" width="6.1640625" style="205"/>
    <col min="3084" max="3084" width="1.1640625" style="205" customWidth="1"/>
    <col min="3085" max="3328" width="6.1640625" style="205"/>
    <col min="3329" max="3329" width="29.1640625" style="205" customWidth="1"/>
    <col min="3330" max="3330" width="1.1640625" style="205" customWidth="1"/>
    <col min="3331" max="3331" width="6.1640625" style="205"/>
    <col min="3332" max="3332" width="1.1640625" style="205" customWidth="1"/>
    <col min="3333" max="3333" width="6.1640625" style="205"/>
    <col min="3334" max="3334" width="1.1640625" style="205" customWidth="1"/>
    <col min="3335" max="3335" width="6.1640625" style="205"/>
    <col min="3336" max="3336" width="1.1640625" style="205" customWidth="1"/>
    <col min="3337" max="3337" width="6.1640625" style="205"/>
    <col min="3338" max="3338" width="1.1640625" style="205" customWidth="1"/>
    <col min="3339" max="3339" width="6.1640625" style="205"/>
    <col min="3340" max="3340" width="1.1640625" style="205" customWidth="1"/>
    <col min="3341" max="3584" width="6.1640625" style="205"/>
    <col min="3585" max="3585" width="29.1640625" style="205" customWidth="1"/>
    <col min="3586" max="3586" width="1.1640625" style="205" customWidth="1"/>
    <col min="3587" max="3587" width="6.1640625" style="205"/>
    <col min="3588" max="3588" width="1.1640625" style="205" customWidth="1"/>
    <col min="3589" max="3589" width="6.1640625" style="205"/>
    <col min="3590" max="3590" width="1.1640625" style="205" customWidth="1"/>
    <col min="3591" max="3591" width="6.1640625" style="205"/>
    <col min="3592" max="3592" width="1.1640625" style="205" customWidth="1"/>
    <col min="3593" max="3593" width="6.1640625" style="205"/>
    <col min="3594" max="3594" width="1.1640625" style="205" customWidth="1"/>
    <col min="3595" max="3595" width="6.1640625" style="205"/>
    <col min="3596" max="3596" width="1.1640625" style="205" customWidth="1"/>
    <col min="3597" max="3840" width="6.1640625" style="205"/>
    <col min="3841" max="3841" width="29.1640625" style="205" customWidth="1"/>
    <col min="3842" max="3842" width="1.1640625" style="205" customWidth="1"/>
    <col min="3843" max="3843" width="6.1640625" style="205"/>
    <col min="3844" max="3844" width="1.1640625" style="205" customWidth="1"/>
    <col min="3845" max="3845" width="6.1640625" style="205"/>
    <col min="3846" max="3846" width="1.1640625" style="205" customWidth="1"/>
    <col min="3847" max="3847" width="6.1640625" style="205"/>
    <col min="3848" max="3848" width="1.1640625" style="205" customWidth="1"/>
    <col min="3849" max="3849" width="6.1640625" style="205"/>
    <col min="3850" max="3850" width="1.1640625" style="205" customWidth="1"/>
    <col min="3851" max="3851" width="6.1640625" style="205"/>
    <col min="3852" max="3852" width="1.1640625" style="205" customWidth="1"/>
    <col min="3853" max="4096" width="6.1640625" style="205"/>
    <col min="4097" max="4097" width="29.1640625" style="205" customWidth="1"/>
    <col min="4098" max="4098" width="1.1640625" style="205" customWidth="1"/>
    <col min="4099" max="4099" width="6.1640625" style="205"/>
    <col min="4100" max="4100" width="1.1640625" style="205" customWidth="1"/>
    <col min="4101" max="4101" width="6.1640625" style="205"/>
    <col min="4102" max="4102" width="1.1640625" style="205" customWidth="1"/>
    <col min="4103" max="4103" width="6.1640625" style="205"/>
    <col min="4104" max="4104" width="1.1640625" style="205" customWidth="1"/>
    <col min="4105" max="4105" width="6.1640625" style="205"/>
    <col min="4106" max="4106" width="1.1640625" style="205" customWidth="1"/>
    <col min="4107" max="4107" width="6.1640625" style="205"/>
    <col min="4108" max="4108" width="1.1640625" style="205" customWidth="1"/>
    <col min="4109" max="4352" width="6.1640625" style="205"/>
    <col min="4353" max="4353" width="29.1640625" style="205" customWidth="1"/>
    <col min="4354" max="4354" width="1.1640625" style="205" customWidth="1"/>
    <col min="4355" max="4355" width="6.1640625" style="205"/>
    <col min="4356" max="4356" width="1.1640625" style="205" customWidth="1"/>
    <col min="4357" max="4357" width="6.1640625" style="205"/>
    <col min="4358" max="4358" width="1.1640625" style="205" customWidth="1"/>
    <col min="4359" max="4359" width="6.1640625" style="205"/>
    <col min="4360" max="4360" width="1.1640625" style="205" customWidth="1"/>
    <col min="4361" max="4361" width="6.1640625" style="205"/>
    <col min="4362" max="4362" width="1.1640625" style="205" customWidth="1"/>
    <col min="4363" max="4363" width="6.1640625" style="205"/>
    <col min="4364" max="4364" width="1.1640625" style="205" customWidth="1"/>
    <col min="4365" max="4608" width="6.1640625" style="205"/>
    <col min="4609" max="4609" width="29.1640625" style="205" customWidth="1"/>
    <col min="4610" max="4610" width="1.1640625" style="205" customWidth="1"/>
    <col min="4611" max="4611" width="6.1640625" style="205"/>
    <col min="4612" max="4612" width="1.1640625" style="205" customWidth="1"/>
    <col min="4613" max="4613" width="6.1640625" style="205"/>
    <col min="4614" max="4614" width="1.1640625" style="205" customWidth="1"/>
    <col min="4615" max="4615" width="6.1640625" style="205"/>
    <col min="4616" max="4616" width="1.1640625" style="205" customWidth="1"/>
    <col min="4617" max="4617" width="6.1640625" style="205"/>
    <col min="4618" max="4618" width="1.1640625" style="205" customWidth="1"/>
    <col min="4619" max="4619" width="6.1640625" style="205"/>
    <col min="4620" max="4620" width="1.1640625" style="205" customWidth="1"/>
    <col min="4621" max="4864" width="6.1640625" style="205"/>
    <col min="4865" max="4865" width="29.1640625" style="205" customWidth="1"/>
    <col min="4866" max="4866" width="1.1640625" style="205" customWidth="1"/>
    <col min="4867" max="4867" width="6.1640625" style="205"/>
    <col min="4868" max="4868" width="1.1640625" style="205" customWidth="1"/>
    <col min="4869" max="4869" width="6.1640625" style="205"/>
    <col min="4870" max="4870" width="1.1640625" style="205" customWidth="1"/>
    <col min="4871" max="4871" width="6.1640625" style="205"/>
    <col min="4872" max="4872" width="1.1640625" style="205" customWidth="1"/>
    <col min="4873" max="4873" width="6.1640625" style="205"/>
    <col min="4874" max="4874" width="1.1640625" style="205" customWidth="1"/>
    <col min="4875" max="4875" width="6.1640625" style="205"/>
    <col min="4876" max="4876" width="1.1640625" style="205" customWidth="1"/>
    <col min="4877" max="5120" width="6.1640625" style="205"/>
    <col min="5121" max="5121" width="29.1640625" style="205" customWidth="1"/>
    <col min="5122" max="5122" width="1.1640625" style="205" customWidth="1"/>
    <col min="5123" max="5123" width="6.1640625" style="205"/>
    <col min="5124" max="5124" width="1.1640625" style="205" customWidth="1"/>
    <col min="5125" max="5125" width="6.1640625" style="205"/>
    <col min="5126" max="5126" width="1.1640625" style="205" customWidth="1"/>
    <col min="5127" max="5127" width="6.1640625" style="205"/>
    <col min="5128" max="5128" width="1.1640625" style="205" customWidth="1"/>
    <col min="5129" max="5129" width="6.1640625" style="205"/>
    <col min="5130" max="5130" width="1.1640625" style="205" customWidth="1"/>
    <col min="5131" max="5131" width="6.1640625" style="205"/>
    <col min="5132" max="5132" width="1.1640625" style="205" customWidth="1"/>
    <col min="5133" max="5376" width="6.1640625" style="205"/>
    <col min="5377" max="5377" width="29.1640625" style="205" customWidth="1"/>
    <col min="5378" max="5378" width="1.1640625" style="205" customWidth="1"/>
    <col min="5379" max="5379" width="6.1640625" style="205"/>
    <col min="5380" max="5380" width="1.1640625" style="205" customWidth="1"/>
    <col min="5381" max="5381" width="6.1640625" style="205"/>
    <col min="5382" max="5382" width="1.1640625" style="205" customWidth="1"/>
    <col min="5383" max="5383" width="6.1640625" style="205"/>
    <col min="5384" max="5384" width="1.1640625" style="205" customWidth="1"/>
    <col min="5385" max="5385" width="6.1640625" style="205"/>
    <col min="5386" max="5386" width="1.1640625" style="205" customWidth="1"/>
    <col min="5387" max="5387" width="6.1640625" style="205"/>
    <col min="5388" max="5388" width="1.1640625" style="205" customWidth="1"/>
    <col min="5389" max="5632" width="6.1640625" style="205"/>
    <col min="5633" max="5633" width="29.1640625" style="205" customWidth="1"/>
    <col min="5634" max="5634" width="1.1640625" style="205" customWidth="1"/>
    <col min="5635" max="5635" width="6.1640625" style="205"/>
    <col min="5636" max="5636" width="1.1640625" style="205" customWidth="1"/>
    <col min="5637" max="5637" width="6.1640625" style="205"/>
    <col min="5638" max="5638" width="1.1640625" style="205" customWidth="1"/>
    <col min="5639" max="5639" width="6.1640625" style="205"/>
    <col min="5640" max="5640" width="1.1640625" style="205" customWidth="1"/>
    <col min="5641" max="5641" width="6.1640625" style="205"/>
    <col min="5642" max="5642" width="1.1640625" style="205" customWidth="1"/>
    <col min="5643" max="5643" width="6.1640625" style="205"/>
    <col min="5644" max="5644" width="1.1640625" style="205" customWidth="1"/>
    <col min="5645" max="5888" width="6.1640625" style="205"/>
    <col min="5889" max="5889" width="29.1640625" style="205" customWidth="1"/>
    <col min="5890" max="5890" width="1.1640625" style="205" customWidth="1"/>
    <col min="5891" max="5891" width="6.1640625" style="205"/>
    <col min="5892" max="5892" width="1.1640625" style="205" customWidth="1"/>
    <col min="5893" max="5893" width="6.1640625" style="205"/>
    <col min="5894" max="5894" width="1.1640625" style="205" customWidth="1"/>
    <col min="5895" max="5895" width="6.1640625" style="205"/>
    <col min="5896" max="5896" width="1.1640625" style="205" customWidth="1"/>
    <col min="5897" max="5897" width="6.1640625" style="205"/>
    <col min="5898" max="5898" width="1.1640625" style="205" customWidth="1"/>
    <col min="5899" max="5899" width="6.1640625" style="205"/>
    <col min="5900" max="5900" width="1.1640625" style="205" customWidth="1"/>
    <col min="5901" max="6144" width="6.1640625" style="205"/>
    <col min="6145" max="6145" width="29.1640625" style="205" customWidth="1"/>
    <col min="6146" max="6146" width="1.1640625" style="205" customWidth="1"/>
    <col min="6147" max="6147" width="6.1640625" style="205"/>
    <col min="6148" max="6148" width="1.1640625" style="205" customWidth="1"/>
    <col min="6149" max="6149" width="6.1640625" style="205"/>
    <col min="6150" max="6150" width="1.1640625" style="205" customWidth="1"/>
    <col min="6151" max="6151" width="6.1640625" style="205"/>
    <col min="6152" max="6152" width="1.1640625" style="205" customWidth="1"/>
    <col min="6153" max="6153" width="6.1640625" style="205"/>
    <col min="6154" max="6154" width="1.1640625" style="205" customWidth="1"/>
    <col min="6155" max="6155" width="6.1640625" style="205"/>
    <col min="6156" max="6156" width="1.1640625" style="205" customWidth="1"/>
    <col min="6157" max="6400" width="6.1640625" style="205"/>
    <col min="6401" max="6401" width="29.1640625" style="205" customWidth="1"/>
    <col min="6402" max="6402" width="1.1640625" style="205" customWidth="1"/>
    <col min="6403" max="6403" width="6.1640625" style="205"/>
    <col min="6404" max="6404" width="1.1640625" style="205" customWidth="1"/>
    <col min="6405" max="6405" width="6.1640625" style="205"/>
    <col min="6406" max="6406" width="1.1640625" style="205" customWidth="1"/>
    <col min="6407" max="6407" width="6.1640625" style="205"/>
    <col min="6408" max="6408" width="1.1640625" style="205" customWidth="1"/>
    <col min="6409" max="6409" width="6.1640625" style="205"/>
    <col min="6410" max="6410" width="1.1640625" style="205" customWidth="1"/>
    <col min="6411" max="6411" width="6.1640625" style="205"/>
    <col min="6412" max="6412" width="1.1640625" style="205" customWidth="1"/>
    <col min="6413" max="6656" width="6.1640625" style="205"/>
    <col min="6657" max="6657" width="29.1640625" style="205" customWidth="1"/>
    <col min="6658" max="6658" width="1.1640625" style="205" customWidth="1"/>
    <col min="6659" max="6659" width="6.1640625" style="205"/>
    <col min="6660" max="6660" width="1.1640625" style="205" customWidth="1"/>
    <col min="6661" max="6661" width="6.1640625" style="205"/>
    <col min="6662" max="6662" width="1.1640625" style="205" customWidth="1"/>
    <col min="6663" max="6663" width="6.1640625" style="205"/>
    <col min="6664" max="6664" width="1.1640625" style="205" customWidth="1"/>
    <col min="6665" max="6665" width="6.1640625" style="205"/>
    <col min="6666" max="6666" width="1.1640625" style="205" customWidth="1"/>
    <col min="6667" max="6667" width="6.1640625" style="205"/>
    <col min="6668" max="6668" width="1.1640625" style="205" customWidth="1"/>
    <col min="6669" max="6912" width="6.1640625" style="205"/>
    <col min="6913" max="6913" width="29.1640625" style="205" customWidth="1"/>
    <col min="6914" max="6914" width="1.1640625" style="205" customWidth="1"/>
    <col min="6915" max="6915" width="6.1640625" style="205"/>
    <col min="6916" max="6916" width="1.1640625" style="205" customWidth="1"/>
    <col min="6917" max="6917" width="6.1640625" style="205"/>
    <col min="6918" max="6918" width="1.1640625" style="205" customWidth="1"/>
    <col min="6919" max="6919" width="6.1640625" style="205"/>
    <col min="6920" max="6920" width="1.1640625" style="205" customWidth="1"/>
    <col min="6921" max="6921" width="6.1640625" style="205"/>
    <col min="6922" max="6922" width="1.1640625" style="205" customWidth="1"/>
    <col min="6923" max="6923" width="6.1640625" style="205"/>
    <col min="6924" max="6924" width="1.1640625" style="205" customWidth="1"/>
    <col min="6925" max="7168" width="6.1640625" style="205"/>
    <col min="7169" max="7169" width="29.1640625" style="205" customWidth="1"/>
    <col min="7170" max="7170" width="1.1640625" style="205" customWidth="1"/>
    <col min="7171" max="7171" width="6.1640625" style="205"/>
    <col min="7172" max="7172" width="1.1640625" style="205" customWidth="1"/>
    <col min="7173" max="7173" width="6.1640625" style="205"/>
    <col min="7174" max="7174" width="1.1640625" style="205" customWidth="1"/>
    <col min="7175" max="7175" width="6.1640625" style="205"/>
    <col min="7176" max="7176" width="1.1640625" style="205" customWidth="1"/>
    <col min="7177" max="7177" width="6.1640625" style="205"/>
    <col min="7178" max="7178" width="1.1640625" style="205" customWidth="1"/>
    <col min="7179" max="7179" width="6.1640625" style="205"/>
    <col min="7180" max="7180" width="1.1640625" style="205" customWidth="1"/>
    <col min="7181" max="7424" width="6.1640625" style="205"/>
    <col min="7425" max="7425" width="29.1640625" style="205" customWidth="1"/>
    <col min="7426" max="7426" width="1.1640625" style="205" customWidth="1"/>
    <col min="7427" max="7427" width="6.1640625" style="205"/>
    <col min="7428" max="7428" width="1.1640625" style="205" customWidth="1"/>
    <col min="7429" max="7429" width="6.1640625" style="205"/>
    <col min="7430" max="7430" width="1.1640625" style="205" customWidth="1"/>
    <col min="7431" max="7431" width="6.1640625" style="205"/>
    <col min="7432" max="7432" width="1.1640625" style="205" customWidth="1"/>
    <col min="7433" max="7433" width="6.1640625" style="205"/>
    <col min="7434" max="7434" width="1.1640625" style="205" customWidth="1"/>
    <col min="7435" max="7435" width="6.1640625" style="205"/>
    <col min="7436" max="7436" width="1.1640625" style="205" customWidth="1"/>
    <col min="7437" max="7680" width="6.1640625" style="205"/>
    <col min="7681" max="7681" width="29.1640625" style="205" customWidth="1"/>
    <col min="7682" max="7682" width="1.1640625" style="205" customWidth="1"/>
    <col min="7683" max="7683" width="6.1640625" style="205"/>
    <col min="7684" max="7684" width="1.1640625" style="205" customWidth="1"/>
    <col min="7685" max="7685" width="6.1640625" style="205"/>
    <col min="7686" max="7686" width="1.1640625" style="205" customWidth="1"/>
    <col min="7687" max="7687" width="6.1640625" style="205"/>
    <col min="7688" max="7688" width="1.1640625" style="205" customWidth="1"/>
    <col min="7689" max="7689" width="6.1640625" style="205"/>
    <col min="7690" max="7690" width="1.1640625" style="205" customWidth="1"/>
    <col min="7691" max="7691" width="6.1640625" style="205"/>
    <col min="7692" max="7692" width="1.1640625" style="205" customWidth="1"/>
    <col min="7693" max="7936" width="6.1640625" style="205"/>
    <col min="7937" max="7937" width="29.1640625" style="205" customWidth="1"/>
    <col min="7938" max="7938" width="1.1640625" style="205" customWidth="1"/>
    <col min="7939" max="7939" width="6.1640625" style="205"/>
    <col min="7940" max="7940" width="1.1640625" style="205" customWidth="1"/>
    <col min="7941" max="7941" width="6.1640625" style="205"/>
    <col min="7942" max="7942" width="1.1640625" style="205" customWidth="1"/>
    <col min="7943" max="7943" width="6.1640625" style="205"/>
    <col min="7944" max="7944" width="1.1640625" style="205" customWidth="1"/>
    <col min="7945" max="7945" width="6.1640625" style="205"/>
    <col min="7946" max="7946" width="1.1640625" style="205" customWidth="1"/>
    <col min="7947" max="7947" width="6.1640625" style="205"/>
    <col min="7948" max="7948" width="1.1640625" style="205" customWidth="1"/>
    <col min="7949" max="8192" width="6.1640625" style="205"/>
    <col min="8193" max="8193" width="29.1640625" style="205" customWidth="1"/>
    <col min="8194" max="8194" width="1.1640625" style="205" customWidth="1"/>
    <col min="8195" max="8195" width="6.1640625" style="205"/>
    <col min="8196" max="8196" width="1.1640625" style="205" customWidth="1"/>
    <col min="8197" max="8197" width="6.1640625" style="205"/>
    <col min="8198" max="8198" width="1.1640625" style="205" customWidth="1"/>
    <col min="8199" max="8199" width="6.1640625" style="205"/>
    <col min="8200" max="8200" width="1.1640625" style="205" customWidth="1"/>
    <col min="8201" max="8201" width="6.1640625" style="205"/>
    <col min="8202" max="8202" width="1.1640625" style="205" customWidth="1"/>
    <col min="8203" max="8203" width="6.1640625" style="205"/>
    <col min="8204" max="8204" width="1.1640625" style="205" customWidth="1"/>
    <col min="8205" max="8448" width="6.1640625" style="205"/>
    <col min="8449" max="8449" width="29.1640625" style="205" customWidth="1"/>
    <col min="8450" max="8450" width="1.1640625" style="205" customWidth="1"/>
    <col min="8451" max="8451" width="6.1640625" style="205"/>
    <col min="8452" max="8452" width="1.1640625" style="205" customWidth="1"/>
    <col min="8453" max="8453" width="6.1640625" style="205"/>
    <col min="8454" max="8454" width="1.1640625" style="205" customWidth="1"/>
    <col min="8455" max="8455" width="6.1640625" style="205"/>
    <col min="8456" max="8456" width="1.1640625" style="205" customWidth="1"/>
    <col min="8457" max="8457" width="6.1640625" style="205"/>
    <col min="8458" max="8458" width="1.1640625" style="205" customWidth="1"/>
    <col min="8459" max="8459" width="6.1640625" style="205"/>
    <col min="8460" max="8460" width="1.1640625" style="205" customWidth="1"/>
    <col min="8461" max="8704" width="6.1640625" style="205"/>
    <col min="8705" max="8705" width="29.1640625" style="205" customWidth="1"/>
    <col min="8706" max="8706" width="1.1640625" style="205" customWidth="1"/>
    <col min="8707" max="8707" width="6.1640625" style="205"/>
    <col min="8708" max="8708" width="1.1640625" style="205" customWidth="1"/>
    <col min="8709" max="8709" width="6.1640625" style="205"/>
    <col min="8710" max="8710" width="1.1640625" style="205" customWidth="1"/>
    <col min="8711" max="8711" width="6.1640625" style="205"/>
    <col min="8712" max="8712" width="1.1640625" style="205" customWidth="1"/>
    <col min="8713" max="8713" width="6.1640625" style="205"/>
    <col min="8714" max="8714" width="1.1640625" style="205" customWidth="1"/>
    <col min="8715" max="8715" width="6.1640625" style="205"/>
    <col min="8716" max="8716" width="1.1640625" style="205" customWidth="1"/>
    <col min="8717" max="8960" width="6.1640625" style="205"/>
    <col min="8961" max="8961" width="29.1640625" style="205" customWidth="1"/>
    <col min="8962" max="8962" width="1.1640625" style="205" customWidth="1"/>
    <col min="8963" max="8963" width="6.1640625" style="205"/>
    <col min="8964" max="8964" width="1.1640625" style="205" customWidth="1"/>
    <col min="8965" max="8965" width="6.1640625" style="205"/>
    <col min="8966" max="8966" width="1.1640625" style="205" customWidth="1"/>
    <col min="8967" max="8967" width="6.1640625" style="205"/>
    <col min="8968" max="8968" width="1.1640625" style="205" customWidth="1"/>
    <col min="8969" max="8969" width="6.1640625" style="205"/>
    <col min="8970" max="8970" width="1.1640625" style="205" customWidth="1"/>
    <col min="8971" max="8971" width="6.1640625" style="205"/>
    <col min="8972" max="8972" width="1.1640625" style="205" customWidth="1"/>
    <col min="8973" max="9216" width="6.1640625" style="205"/>
    <col min="9217" max="9217" width="29.1640625" style="205" customWidth="1"/>
    <col min="9218" max="9218" width="1.1640625" style="205" customWidth="1"/>
    <col min="9219" max="9219" width="6.1640625" style="205"/>
    <col min="9220" max="9220" width="1.1640625" style="205" customWidth="1"/>
    <col min="9221" max="9221" width="6.1640625" style="205"/>
    <col min="9222" max="9222" width="1.1640625" style="205" customWidth="1"/>
    <col min="9223" max="9223" width="6.1640625" style="205"/>
    <col min="9224" max="9224" width="1.1640625" style="205" customWidth="1"/>
    <col min="9225" max="9225" width="6.1640625" style="205"/>
    <col min="9226" max="9226" width="1.1640625" style="205" customWidth="1"/>
    <col min="9227" max="9227" width="6.1640625" style="205"/>
    <col min="9228" max="9228" width="1.1640625" style="205" customWidth="1"/>
    <col min="9229" max="9472" width="6.1640625" style="205"/>
    <col min="9473" max="9473" width="29.1640625" style="205" customWidth="1"/>
    <col min="9474" max="9474" width="1.1640625" style="205" customWidth="1"/>
    <col min="9475" max="9475" width="6.1640625" style="205"/>
    <col min="9476" max="9476" width="1.1640625" style="205" customWidth="1"/>
    <col min="9477" max="9477" width="6.1640625" style="205"/>
    <col min="9478" max="9478" width="1.1640625" style="205" customWidth="1"/>
    <col min="9479" max="9479" width="6.1640625" style="205"/>
    <col min="9480" max="9480" width="1.1640625" style="205" customWidth="1"/>
    <col min="9481" max="9481" width="6.1640625" style="205"/>
    <col min="9482" max="9482" width="1.1640625" style="205" customWidth="1"/>
    <col min="9483" max="9483" width="6.1640625" style="205"/>
    <col min="9484" max="9484" width="1.1640625" style="205" customWidth="1"/>
    <col min="9485" max="9728" width="6.1640625" style="205"/>
    <col min="9729" max="9729" width="29.1640625" style="205" customWidth="1"/>
    <col min="9730" max="9730" width="1.1640625" style="205" customWidth="1"/>
    <col min="9731" max="9731" width="6.1640625" style="205"/>
    <col min="9732" max="9732" width="1.1640625" style="205" customWidth="1"/>
    <col min="9733" max="9733" width="6.1640625" style="205"/>
    <col min="9734" max="9734" width="1.1640625" style="205" customWidth="1"/>
    <col min="9735" max="9735" width="6.1640625" style="205"/>
    <col min="9736" max="9736" width="1.1640625" style="205" customWidth="1"/>
    <col min="9737" max="9737" width="6.1640625" style="205"/>
    <col min="9738" max="9738" width="1.1640625" style="205" customWidth="1"/>
    <col min="9739" max="9739" width="6.1640625" style="205"/>
    <col min="9740" max="9740" width="1.1640625" style="205" customWidth="1"/>
    <col min="9741" max="9984" width="6.1640625" style="205"/>
    <col min="9985" max="9985" width="29.1640625" style="205" customWidth="1"/>
    <col min="9986" max="9986" width="1.1640625" style="205" customWidth="1"/>
    <col min="9987" max="9987" width="6.1640625" style="205"/>
    <col min="9988" max="9988" width="1.1640625" style="205" customWidth="1"/>
    <col min="9989" max="9989" width="6.1640625" style="205"/>
    <col min="9990" max="9990" width="1.1640625" style="205" customWidth="1"/>
    <col min="9991" max="9991" width="6.1640625" style="205"/>
    <col min="9992" max="9992" width="1.1640625" style="205" customWidth="1"/>
    <col min="9993" max="9993" width="6.1640625" style="205"/>
    <col min="9994" max="9994" width="1.1640625" style="205" customWidth="1"/>
    <col min="9995" max="9995" width="6.1640625" style="205"/>
    <col min="9996" max="9996" width="1.1640625" style="205" customWidth="1"/>
    <col min="9997" max="10240" width="6.1640625" style="205"/>
    <col min="10241" max="10241" width="29.1640625" style="205" customWidth="1"/>
    <col min="10242" max="10242" width="1.1640625" style="205" customWidth="1"/>
    <col min="10243" max="10243" width="6.1640625" style="205"/>
    <col min="10244" max="10244" width="1.1640625" style="205" customWidth="1"/>
    <col min="10245" max="10245" width="6.1640625" style="205"/>
    <col min="10246" max="10246" width="1.1640625" style="205" customWidth="1"/>
    <col min="10247" max="10247" width="6.1640625" style="205"/>
    <col min="10248" max="10248" width="1.1640625" style="205" customWidth="1"/>
    <col min="10249" max="10249" width="6.1640625" style="205"/>
    <col min="10250" max="10250" width="1.1640625" style="205" customWidth="1"/>
    <col min="10251" max="10251" width="6.1640625" style="205"/>
    <col min="10252" max="10252" width="1.1640625" style="205" customWidth="1"/>
    <col min="10253" max="10496" width="6.1640625" style="205"/>
    <col min="10497" max="10497" width="29.1640625" style="205" customWidth="1"/>
    <col min="10498" max="10498" width="1.1640625" style="205" customWidth="1"/>
    <col min="10499" max="10499" width="6.1640625" style="205"/>
    <col min="10500" max="10500" width="1.1640625" style="205" customWidth="1"/>
    <col min="10501" max="10501" width="6.1640625" style="205"/>
    <col min="10502" max="10502" width="1.1640625" style="205" customWidth="1"/>
    <col min="10503" max="10503" width="6.1640625" style="205"/>
    <col min="10504" max="10504" width="1.1640625" style="205" customWidth="1"/>
    <col min="10505" max="10505" width="6.1640625" style="205"/>
    <col min="10506" max="10506" width="1.1640625" style="205" customWidth="1"/>
    <col min="10507" max="10507" width="6.1640625" style="205"/>
    <col min="10508" max="10508" width="1.1640625" style="205" customWidth="1"/>
    <col min="10509" max="10752" width="6.1640625" style="205"/>
    <col min="10753" max="10753" width="29.1640625" style="205" customWidth="1"/>
    <col min="10754" max="10754" width="1.1640625" style="205" customWidth="1"/>
    <col min="10755" max="10755" width="6.1640625" style="205"/>
    <col min="10756" max="10756" width="1.1640625" style="205" customWidth="1"/>
    <col min="10757" max="10757" width="6.1640625" style="205"/>
    <col min="10758" max="10758" width="1.1640625" style="205" customWidth="1"/>
    <col min="10759" max="10759" width="6.1640625" style="205"/>
    <col min="10760" max="10760" width="1.1640625" style="205" customWidth="1"/>
    <col min="10761" max="10761" width="6.1640625" style="205"/>
    <col min="10762" max="10762" width="1.1640625" style="205" customWidth="1"/>
    <col min="10763" max="10763" width="6.1640625" style="205"/>
    <col min="10764" max="10764" width="1.1640625" style="205" customWidth="1"/>
    <col min="10765" max="11008" width="6.1640625" style="205"/>
    <col min="11009" max="11009" width="29.1640625" style="205" customWidth="1"/>
    <col min="11010" max="11010" width="1.1640625" style="205" customWidth="1"/>
    <col min="11011" max="11011" width="6.1640625" style="205"/>
    <col min="11012" max="11012" width="1.1640625" style="205" customWidth="1"/>
    <col min="11013" max="11013" width="6.1640625" style="205"/>
    <col min="11014" max="11014" width="1.1640625" style="205" customWidth="1"/>
    <col min="11015" max="11015" width="6.1640625" style="205"/>
    <col min="11016" max="11016" width="1.1640625" style="205" customWidth="1"/>
    <col min="11017" max="11017" width="6.1640625" style="205"/>
    <col min="11018" max="11018" width="1.1640625" style="205" customWidth="1"/>
    <col min="11019" max="11019" width="6.1640625" style="205"/>
    <col min="11020" max="11020" width="1.1640625" style="205" customWidth="1"/>
    <col min="11021" max="11264" width="6.1640625" style="205"/>
    <col min="11265" max="11265" width="29.1640625" style="205" customWidth="1"/>
    <col min="11266" max="11266" width="1.1640625" style="205" customWidth="1"/>
    <col min="11267" max="11267" width="6.1640625" style="205"/>
    <col min="11268" max="11268" width="1.1640625" style="205" customWidth="1"/>
    <col min="11269" max="11269" width="6.1640625" style="205"/>
    <col min="11270" max="11270" width="1.1640625" style="205" customWidth="1"/>
    <col min="11271" max="11271" width="6.1640625" style="205"/>
    <col min="11272" max="11272" width="1.1640625" style="205" customWidth="1"/>
    <col min="11273" max="11273" width="6.1640625" style="205"/>
    <col min="11274" max="11274" width="1.1640625" style="205" customWidth="1"/>
    <col min="11275" max="11275" width="6.1640625" style="205"/>
    <col min="11276" max="11276" width="1.1640625" style="205" customWidth="1"/>
    <col min="11277" max="11520" width="6.1640625" style="205"/>
    <col min="11521" max="11521" width="29.1640625" style="205" customWidth="1"/>
    <col min="11522" max="11522" width="1.1640625" style="205" customWidth="1"/>
    <col min="11523" max="11523" width="6.1640625" style="205"/>
    <col min="11524" max="11524" width="1.1640625" style="205" customWidth="1"/>
    <col min="11525" max="11525" width="6.1640625" style="205"/>
    <col min="11526" max="11526" width="1.1640625" style="205" customWidth="1"/>
    <col min="11527" max="11527" width="6.1640625" style="205"/>
    <col min="11528" max="11528" width="1.1640625" style="205" customWidth="1"/>
    <col min="11529" max="11529" width="6.1640625" style="205"/>
    <col min="11530" max="11530" width="1.1640625" style="205" customWidth="1"/>
    <col min="11531" max="11531" width="6.1640625" style="205"/>
    <col min="11532" max="11532" width="1.1640625" style="205" customWidth="1"/>
    <col min="11533" max="11776" width="6.1640625" style="205"/>
    <col min="11777" max="11777" width="29.1640625" style="205" customWidth="1"/>
    <col min="11778" max="11778" width="1.1640625" style="205" customWidth="1"/>
    <col min="11779" max="11779" width="6.1640625" style="205"/>
    <col min="11780" max="11780" width="1.1640625" style="205" customWidth="1"/>
    <col min="11781" max="11781" width="6.1640625" style="205"/>
    <col min="11782" max="11782" width="1.1640625" style="205" customWidth="1"/>
    <col min="11783" max="11783" width="6.1640625" style="205"/>
    <col min="11784" max="11784" width="1.1640625" style="205" customWidth="1"/>
    <col min="11785" max="11785" width="6.1640625" style="205"/>
    <col min="11786" max="11786" width="1.1640625" style="205" customWidth="1"/>
    <col min="11787" max="11787" width="6.1640625" style="205"/>
    <col min="11788" max="11788" width="1.1640625" style="205" customWidth="1"/>
    <col min="11789" max="12032" width="6.1640625" style="205"/>
    <col min="12033" max="12033" width="29.1640625" style="205" customWidth="1"/>
    <col min="12034" max="12034" width="1.1640625" style="205" customWidth="1"/>
    <col min="12035" max="12035" width="6.1640625" style="205"/>
    <col min="12036" max="12036" width="1.1640625" style="205" customWidth="1"/>
    <col min="12037" max="12037" width="6.1640625" style="205"/>
    <col min="12038" max="12038" width="1.1640625" style="205" customWidth="1"/>
    <col min="12039" max="12039" width="6.1640625" style="205"/>
    <col min="12040" max="12040" width="1.1640625" style="205" customWidth="1"/>
    <col min="12041" max="12041" width="6.1640625" style="205"/>
    <col min="12042" max="12042" width="1.1640625" style="205" customWidth="1"/>
    <col min="12043" max="12043" width="6.1640625" style="205"/>
    <col min="12044" max="12044" width="1.1640625" style="205" customWidth="1"/>
    <col min="12045" max="12288" width="6.1640625" style="205"/>
    <col min="12289" max="12289" width="29.1640625" style="205" customWidth="1"/>
    <col min="12290" max="12290" width="1.1640625" style="205" customWidth="1"/>
    <col min="12291" max="12291" width="6.1640625" style="205"/>
    <col min="12292" max="12292" width="1.1640625" style="205" customWidth="1"/>
    <col min="12293" max="12293" width="6.1640625" style="205"/>
    <col min="12294" max="12294" width="1.1640625" style="205" customWidth="1"/>
    <col min="12295" max="12295" width="6.1640625" style="205"/>
    <col min="12296" max="12296" width="1.1640625" style="205" customWidth="1"/>
    <col min="12297" max="12297" width="6.1640625" style="205"/>
    <col min="12298" max="12298" width="1.1640625" style="205" customWidth="1"/>
    <col min="12299" max="12299" width="6.1640625" style="205"/>
    <col min="12300" max="12300" width="1.1640625" style="205" customWidth="1"/>
    <col min="12301" max="12544" width="6.1640625" style="205"/>
    <col min="12545" max="12545" width="29.1640625" style="205" customWidth="1"/>
    <col min="12546" max="12546" width="1.1640625" style="205" customWidth="1"/>
    <col min="12547" max="12547" width="6.1640625" style="205"/>
    <col min="12548" max="12548" width="1.1640625" style="205" customWidth="1"/>
    <col min="12549" max="12549" width="6.1640625" style="205"/>
    <col min="12550" max="12550" width="1.1640625" style="205" customWidth="1"/>
    <col min="12551" max="12551" width="6.1640625" style="205"/>
    <col min="12552" max="12552" width="1.1640625" style="205" customWidth="1"/>
    <col min="12553" max="12553" width="6.1640625" style="205"/>
    <col min="12554" max="12554" width="1.1640625" style="205" customWidth="1"/>
    <col min="12555" max="12555" width="6.1640625" style="205"/>
    <col min="12556" max="12556" width="1.1640625" style="205" customWidth="1"/>
    <col min="12557" max="12800" width="6.1640625" style="205"/>
    <col min="12801" max="12801" width="29.1640625" style="205" customWidth="1"/>
    <col min="12802" max="12802" width="1.1640625" style="205" customWidth="1"/>
    <col min="12803" max="12803" width="6.1640625" style="205"/>
    <col min="12804" max="12804" width="1.1640625" style="205" customWidth="1"/>
    <col min="12805" max="12805" width="6.1640625" style="205"/>
    <col min="12806" max="12806" width="1.1640625" style="205" customWidth="1"/>
    <col min="12807" max="12807" width="6.1640625" style="205"/>
    <col min="12808" max="12808" width="1.1640625" style="205" customWidth="1"/>
    <col min="12809" max="12809" width="6.1640625" style="205"/>
    <col min="12810" max="12810" width="1.1640625" style="205" customWidth="1"/>
    <col min="12811" max="12811" width="6.1640625" style="205"/>
    <col min="12812" max="12812" width="1.1640625" style="205" customWidth="1"/>
    <col min="12813" max="13056" width="6.1640625" style="205"/>
    <col min="13057" max="13057" width="29.1640625" style="205" customWidth="1"/>
    <col min="13058" max="13058" width="1.1640625" style="205" customWidth="1"/>
    <col min="13059" max="13059" width="6.1640625" style="205"/>
    <col min="13060" max="13060" width="1.1640625" style="205" customWidth="1"/>
    <col min="13061" max="13061" width="6.1640625" style="205"/>
    <col min="13062" max="13062" width="1.1640625" style="205" customWidth="1"/>
    <col min="13063" max="13063" width="6.1640625" style="205"/>
    <col min="13064" max="13064" width="1.1640625" style="205" customWidth="1"/>
    <col min="13065" max="13065" width="6.1640625" style="205"/>
    <col min="13066" max="13066" width="1.1640625" style="205" customWidth="1"/>
    <col min="13067" max="13067" width="6.1640625" style="205"/>
    <col min="13068" max="13068" width="1.1640625" style="205" customWidth="1"/>
    <col min="13069" max="13312" width="6.1640625" style="205"/>
    <col min="13313" max="13313" width="29.1640625" style="205" customWidth="1"/>
    <col min="13314" max="13314" width="1.1640625" style="205" customWidth="1"/>
    <col min="13315" max="13315" width="6.1640625" style="205"/>
    <col min="13316" max="13316" width="1.1640625" style="205" customWidth="1"/>
    <col min="13317" max="13317" width="6.1640625" style="205"/>
    <col min="13318" max="13318" width="1.1640625" style="205" customWidth="1"/>
    <col min="13319" max="13319" width="6.1640625" style="205"/>
    <col min="13320" max="13320" width="1.1640625" style="205" customWidth="1"/>
    <col min="13321" max="13321" width="6.1640625" style="205"/>
    <col min="13322" max="13322" width="1.1640625" style="205" customWidth="1"/>
    <col min="13323" max="13323" width="6.1640625" style="205"/>
    <col min="13324" max="13324" width="1.1640625" style="205" customWidth="1"/>
    <col min="13325" max="13568" width="6.1640625" style="205"/>
    <col min="13569" max="13569" width="29.1640625" style="205" customWidth="1"/>
    <col min="13570" max="13570" width="1.1640625" style="205" customWidth="1"/>
    <col min="13571" max="13571" width="6.1640625" style="205"/>
    <col min="13572" max="13572" width="1.1640625" style="205" customWidth="1"/>
    <col min="13573" max="13573" width="6.1640625" style="205"/>
    <col min="13574" max="13574" width="1.1640625" style="205" customWidth="1"/>
    <col min="13575" max="13575" width="6.1640625" style="205"/>
    <col min="13576" max="13576" width="1.1640625" style="205" customWidth="1"/>
    <col min="13577" max="13577" width="6.1640625" style="205"/>
    <col min="13578" max="13578" width="1.1640625" style="205" customWidth="1"/>
    <col min="13579" max="13579" width="6.1640625" style="205"/>
    <col min="13580" max="13580" width="1.1640625" style="205" customWidth="1"/>
    <col min="13581" max="13824" width="6.1640625" style="205"/>
    <col min="13825" max="13825" width="29.1640625" style="205" customWidth="1"/>
    <col min="13826" max="13826" width="1.1640625" style="205" customWidth="1"/>
    <col min="13827" max="13827" width="6.1640625" style="205"/>
    <col min="13828" max="13828" width="1.1640625" style="205" customWidth="1"/>
    <col min="13829" max="13829" width="6.1640625" style="205"/>
    <col min="13830" max="13830" width="1.1640625" style="205" customWidth="1"/>
    <col min="13831" max="13831" width="6.1640625" style="205"/>
    <col min="13832" max="13832" width="1.1640625" style="205" customWidth="1"/>
    <col min="13833" max="13833" width="6.1640625" style="205"/>
    <col min="13834" max="13834" width="1.1640625" style="205" customWidth="1"/>
    <col min="13835" max="13835" width="6.1640625" style="205"/>
    <col min="13836" max="13836" width="1.1640625" style="205" customWidth="1"/>
    <col min="13837" max="14080" width="6.1640625" style="205"/>
    <col min="14081" max="14081" width="29.1640625" style="205" customWidth="1"/>
    <col min="14082" max="14082" width="1.1640625" style="205" customWidth="1"/>
    <col min="14083" max="14083" width="6.1640625" style="205"/>
    <col min="14084" max="14084" width="1.1640625" style="205" customWidth="1"/>
    <col min="14085" max="14085" width="6.1640625" style="205"/>
    <col min="14086" max="14086" width="1.1640625" style="205" customWidth="1"/>
    <col min="14087" max="14087" width="6.1640625" style="205"/>
    <col min="14088" max="14088" width="1.1640625" style="205" customWidth="1"/>
    <col min="14089" max="14089" width="6.1640625" style="205"/>
    <col min="14090" max="14090" width="1.1640625" style="205" customWidth="1"/>
    <col min="14091" max="14091" width="6.1640625" style="205"/>
    <col min="14092" max="14092" width="1.1640625" style="205" customWidth="1"/>
    <col min="14093" max="14336" width="6.1640625" style="205"/>
    <col min="14337" max="14337" width="29.1640625" style="205" customWidth="1"/>
    <col min="14338" max="14338" width="1.1640625" style="205" customWidth="1"/>
    <col min="14339" max="14339" width="6.1640625" style="205"/>
    <col min="14340" max="14340" width="1.1640625" style="205" customWidth="1"/>
    <col min="14341" max="14341" width="6.1640625" style="205"/>
    <col min="14342" max="14342" width="1.1640625" style="205" customWidth="1"/>
    <col min="14343" max="14343" width="6.1640625" style="205"/>
    <col min="14344" max="14344" width="1.1640625" style="205" customWidth="1"/>
    <col min="14345" max="14345" width="6.1640625" style="205"/>
    <col min="14346" max="14346" width="1.1640625" style="205" customWidth="1"/>
    <col min="14347" max="14347" width="6.1640625" style="205"/>
    <col min="14348" max="14348" width="1.1640625" style="205" customWidth="1"/>
    <col min="14349" max="14592" width="6.1640625" style="205"/>
    <col min="14593" max="14593" width="29.1640625" style="205" customWidth="1"/>
    <col min="14594" max="14594" width="1.1640625" style="205" customWidth="1"/>
    <col min="14595" max="14595" width="6.1640625" style="205"/>
    <col min="14596" max="14596" width="1.1640625" style="205" customWidth="1"/>
    <col min="14597" max="14597" width="6.1640625" style="205"/>
    <col min="14598" max="14598" width="1.1640625" style="205" customWidth="1"/>
    <col min="14599" max="14599" width="6.1640625" style="205"/>
    <col min="14600" max="14600" width="1.1640625" style="205" customWidth="1"/>
    <col min="14601" max="14601" width="6.1640625" style="205"/>
    <col min="14602" max="14602" width="1.1640625" style="205" customWidth="1"/>
    <col min="14603" max="14603" width="6.1640625" style="205"/>
    <col min="14604" max="14604" width="1.1640625" style="205" customWidth="1"/>
    <col min="14605" max="14848" width="6.1640625" style="205"/>
    <col min="14849" max="14849" width="29.1640625" style="205" customWidth="1"/>
    <col min="14850" max="14850" width="1.1640625" style="205" customWidth="1"/>
    <col min="14851" max="14851" width="6.1640625" style="205"/>
    <col min="14852" max="14852" width="1.1640625" style="205" customWidth="1"/>
    <col min="14853" max="14853" width="6.1640625" style="205"/>
    <col min="14854" max="14854" width="1.1640625" style="205" customWidth="1"/>
    <col min="14855" max="14855" width="6.1640625" style="205"/>
    <col min="14856" max="14856" width="1.1640625" style="205" customWidth="1"/>
    <col min="14857" max="14857" width="6.1640625" style="205"/>
    <col min="14858" max="14858" width="1.1640625" style="205" customWidth="1"/>
    <col min="14859" max="14859" width="6.1640625" style="205"/>
    <col min="14860" max="14860" width="1.1640625" style="205" customWidth="1"/>
    <col min="14861" max="15104" width="6.1640625" style="205"/>
    <col min="15105" max="15105" width="29.1640625" style="205" customWidth="1"/>
    <col min="15106" max="15106" width="1.1640625" style="205" customWidth="1"/>
    <col min="15107" max="15107" width="6.1640625" style="205"/>
    <col min="15108" max="15108" width="1.1640625" style="205" customWidth="1"/>
    <col min="15109" max="15109" width="6.1640625" style="205"/>
    <col min="15110" max="15110" width="1.1640625" style="205" customWidth="1"/>
    <col min="15111" max="15111" width="6.1640625" style="205"/>
    <col min="15112" max="15112" width="1.1640625" style="205" customWidth="1"/>
    <col min="15113" max="15113" width="6.1640625" style="205"/>
    <col min="15114" max="15114" width="1.1640625" style="205" customWidth="1"/>
    <col min="15115" max="15115" width="6.1640625" style="205"/>
    <col min="15116" max="15116" width="1.1640625" style="205" customWidth="1"/>
    <col min="15117" max="15360" width="6.1640625" style="205"/>
    <col min="15361" max="15361" width="29.1640625" style="205" customWidth="1"/>
    <col min="15362" max="15362" width="1.1640625" style="205" customWidth="1"/>
    <col min="15363" max="15363" width="6.1640625" style="205"/>
    <col min="15364" max="15364" width="1.1640625" style="205" customWidth="1"/>
    <col min="15365" max="15365" width="6.1640625" style="205"/>
    <col min="15366" max="15366" width="1.1640625" style="205" customWidth="1"/>
    <col min="15367" max="15367" width="6.1640625" style="205"/>
    <col min="15368" max="15368" width="1.1640625" style="205" customWidth="1"/>
    <col min="15369" max="15369" width="6.1640625" style="205"/>
    <col min="15370" max="15370" width="1.1640625" style="205" customWidth="1"/>
    <col min="15371" max="15371" width="6.1640625" style="205"/>
    <col min="15372" max="15372" width="1.1640625" style="205" customWidth="1"/>
    <col min="15373" max="15616" width="6.1640625" style="205"/>
    <col min="15617" max="15617" width="29.1640625" style="205" customWidth="1"/>
    <col min="15618" max="15618" width="1.1640625" style="205" customWidth="1"/>
    <col min="15619" max="15619" width="6.1640625" style="205"/>
    <col min="15620" max="15620" width="1.1640625" style="205" customWidth="1"/>
    <col min="15621" max="15621" width="6.1640625" style="205"/>
    <col min="15622" max="15622" width="1.1640625" style="205" customWidth="1"/>
    <col min="15623" max="15623" width="6.1640625" style="205"/>
    <col min="15624" max="15624" width="1.1640625" style="205" customWidth="1"/>
    <col min="15625" max="15625" width="6.1640625" style="205"/>
    <col min="15626" max="15626" width="1.1640625" style="205" customWidth="1"/>
    <col min="15627" max="15627" width="6.1640625" style="205"/>
    <col min="15628" max="15628" width="1.1640625" style="205" customWidth="1"/>
    <col min="15629" max="15872" width="6.1640625" style="205"/>
    <col min="15873" max="15873" width="29.1640625" style="205" customWidth="1"/>
    <col min="15874" max="15874" width="1.1640625" style="205" customWidth="1"/>
    <col min="15875" max="15875" width="6.1640625" style="205"/>
    <col min="15876" max="15876" width="1.1640625" style="205" customWidth="1"/>
    <col min="15877" max="15877" width="6.1640625" style="205"/>
    <col min="15878" max="15878" width="1.1640625" style="205" customWidth="1"/>
    <col min="15879" max="15879" width="6.1640625" style="205"/>
    <col min="15880" max="15880" width="1.1640625" style="205" customWidth="1"/>
    <col min="15881" max="15881" width="6.1640625" style="205"/>
    <col min="15882" max="15882" width="1.1640625" style="205" customWidth="1"/>
    <col min="15883" max="15883" width="6.1640625" style="205"/>
    <col min="15884" max="15884" width="1.1640625" style="205" customWidth="1"/>
    <col min="15885" max="16128" width="6.1640625" style="205"/>
    <col min="16129" max="16129" width="29.1640625" style="205" customWidth="1"/>
    <col min="16130" max="16130" width="1.1640625" style="205" customWidth="1"/>
    <col min="16131" max="16131" width="6.1640625" style="205"/>
    <col min="16132" max="16132" width="1.1640625" style="205" customWidth="1"/>
    <col min="16133" max="16133" width="6.1640625" style="205"/>
    <col min="16134" max="16134" width="1.1640625" style="205" customWidth="1"/>
    <col min="16135" max="16135" width="6.1640625" style="205"/>
    <col min="16136" max="16136" width="1.1640625" style="205" customWidth="1"/>
    <col min="16137" max="16137" width="6.1640625" style="205"/>
    <col min="16138" max="16138" width="1.1640625" style="205" customWidth="1"/>
    <col min="16139" max="16139" width="6.1640625" style="205"/>
    <col min="16140" max="16140" width="1.1640625" style="205" customWidth="1"/>
    <col min="16141" max="16384" width="6.1640625" style="205"/>
  </cols>
  <sheetData>
    <row r="1" spans="1:12" ht="11.25" customHeight="1">
      <c r="A1" s="442" t="s">
        <v>420</v>
      </c>
      <c r="B1" s="442"/>
      <c r="C1" s="442"/>
      <c r="D1" s="442"/>
      <c r="E1" s="442"/>
      <c r="F1" s="442"/>
      <c r="G1" s="442"/>
      <c r="H1" s="442"/>
      <c r="I1" s="442"/>
      <c r="J1" s="442"/>
      <c r="K1" s="442"/>
      <c r="L1" s="442"/>
    </row>
    <row r="2" spans="1:12" ht="11.25" customHeight="1">
      <c r="A2" s="443" t="s">
        <v>421</v>
      </c>
      <c r="B2" s="443"/>
      <c r="C2" s="443"/>
      <c r="D2" s="443"/>
      <c r="E2" s="443"/>
      <c r="F2" s="443"/>
      <c r="G2" s="443"/>
      <c r="H2" s="443"/>
      <c r="I2" s="443"/>
      <c r="J2" s="443"/>
      <c r="K2" s="443"/>
      <c r="L2" s="443"/>
    </row>
    <row r="3" spans="1:12" ht="11.25" customHeight="1">
      <c r="A3" s="443"/>
      <c r="B3" s="443"/>
      <c r="C3" s="443"/>
      <c r="D3" s="443"/>
      <c r="E3" s="443"/>
      <c r="F3" s="443"/>
      <c r="G3" s="443"/>
      <c r="H3" s="443"/>
      <c r="I3" s="443"/>
      <c r="J3" s="443"/>
      <c r="K3" s="443"/>
      <c r="L3" s="443"/>
    </row>
    <row r="4" spans="1:12" ht="11.25" customHeight="1">
      <c r="A4" s="443" t="s">
        <v>0</v>
      </c>
      <c r="B4" s="443"/>
      <c r="C4" s="443"/>
      <c r="D4" s="443"/>
      <c r="E4" s="443"/>
      <c r="F4" s="443"/>
      <c r="G4" s="443"/>
      <c r="H4" s="443"/>
      <c r="I4" s="443"/>
      <c r="J4" s="443"/>
      <c r="K4" s="443"/>
      <c r="L4" s="443"/>
    </row>
    <row r="5" spans="1:12" ht="11.25" customHeight="1">
      <c r="A5" s="444"/>
      <c r="B5" s="444"/>
      <c r="C5" s="444"/>
      <c r="D5" s="444"/>
      <c r="E5" s="444"/>
      <c r="F5" s="444"/>
      <c r="G5" s="444"/>
      <c r="H5" s="444"/>
      <c r="I5" s="444"/>
      <c r="J5" s="444"/>
      <c r="K5" s="444"/>
      <c r="L5" s="444"/>
    </row>
    <row r="6" spans="1:12" ht="12.25" customHeight="1">
      <c r="A6" s="206" t="s">
        <v>422</v>
      </c>
      <c r="B6" s="207"/>
      <c r="C6" s="208" t="s">
        <v>74</v>
      </c>
      <c r="D6" s="209"/>
      <c r="E6" s="208" t="s">
        <v>75</v>
      </c>
      <c r="F6" s="209"/>
      <c r="G6" s="208" t="s">
        <v>76</v>
      </c>
      <c r="H6" s="209"/>
      <c r="I6" s="208" t="s">
        <v>77</v>
      </c>
      <c r="J6" s="209"/>
      <c r="K6" s="208" t="s">
        <v>423</v>
      </c>
      <c r="L6" s="209"/>
    </row>
    <row r="7" spans="1:12" ht="11.25" customHeight="1">
      <c r="A7" s="207" t="s">
        <v>424</v>
      </c>
      <c r="C7" s="210">
        <v>86.117000000000004</v>
      </c>
      <c r="D7" s="211"/>
      <c r="E7" s="210">
        <v>98.025999999999996</v>
      </c>
      <c r="F7" s="211"/>
      <c r="G7" s="210">
        <v>87</v>
      </c>
      <c r="H7" s="211" t="s">
        <v>8</v>
      </c>
      <c r="I7" s="210">
        <v>100</v>
      </c>
      <c r="J7" s="211" t="s">
        <v>8</v>
      </c>
      <c r="K7" s="210">
        <v>100</v>
      </c>
      <c r="L7" s="211" t="s">
        <v>9</v>
      </c>
    </row>
    <row r="8" spans="1:12" ht="11.25" customHeight="1">
      <c r="A8" s="207" t="s">
        <v>7</v>
      </c>
      <c r="C8" s="210">
        <v>1051</v>
      </c>
      <c r="D8" s="211"/>
      <c r="E8" s="210">
        <v>1014</v>
      </c>
      <c r="F8" s="211"/>
      <c r="G8" s="210">
        <v>1007</v>
      </c>
      <c r="H8" s="211"/>
      <c r="I8" s="210">
        <v>1158</v>
      </c>
      <c r="J8" s="211" t="s">
        <v>8</v>
      </c>
      <c r="K8" s="210">
        <v>1278</v>
      </c>
      <c r="L8" s="211"/>
    </row>
    <row r="9" spans="1:12" ht="11.25" customHeight="1">
      <c r="A9" s="207" t="s">
        <v>224</v>
      </c>
      <c r="C9" s="210">
        <v>5033.2</v>
      </c>
      <c r="D9" s="211"/>
      <c r="E9" s="210">
        <v>5133</v>
      </c>
      <c r="F9" s="211" t="s">
        <v>8</v>
      </c>
      <c r="G9" s="210">
        <v>5386</v>
      </c>
      <c r="H9" s="211" t="s">
        <v>8</v>
      </c>
      <c r="I9" s="210">
        <v>5532.7</v>
      </c>
      <c r="J9" s="211"/>
      <c r="K9" s="210">
        <v>5387</v>
      </c>
      <c r="L9" s="211" t="s">
        <v>17</v>
      </c>
    </row>
    <row r="10" spans="1:12" ht="11.25" customHeight="1">
      <c r="A10" s="207" t="s">
        <v>10</v>
      </c>
      <c r="C10" s="210">
        <v>9678</v>
      </c>
      <c r="D10" s="211"/>
      <c r="E10" s="210">
        <v>8353</v>
      </c>
      <c r="F10" s="211"/>
      <c r="G10" s="210">
        <v>7788</v>
      </c>
      <c r="H10" s="211"/>
      <c r="I10" s="210">
        <v>7937</v>
      </c>
      <c r="J10" s="211"/>
      <c r="K10" s="210">
        <v>8047</v>
      </c>
      <c r="L10" s="211"/>
    </row>
    <row r="11" spans="1:12" ht="11.25" customHeight="1">
      <c r="A11" s="207" t="s">
        <v>11</v>
      </c>
      <c r="C11" s="210">
        <v>6261</v>
      </c>
      <c r="D11" s="211"/>
      <c r="E11" s="210">
        <v>6530</v>
      </c>
      <c r="F11" s="211"/>
      <c r="G11" s="210">
        <v>7031</v>
      </c>
      <c r="H11" s="211"/>
      <c r="I11" s="210">
        <v>6487</v>
      </c>
      <c r="J11" s="211" t="s">
        <v>8</v>
      </c>
      <c r="K11" s="210">
        <v>6871</v>
      </c>
      <c r="L11" s="211"/>
    </row>
    <row r="12" spans="1:12" ht="11.25" customHeight="1">
      <c r="A12" s="207" t="s">
        <v>80</v>
      </c>
      <c r="C12" s="210">
        <v>56.353999999999999</v>
      </c>
      <c r="D12" s="211"/>
      <c r="E12" s="210">
        <v>90.41</v>
      </c>
      <c r="F12" s="211"/>
      <c r="G12" s="210">
        <v>286.11700000000002</v>
      </c>
      <c r="H12" s="211"/>
      <c r="I12" s="210">
        <v>54.308999999999997</v>
      </c>
      <c r="J12" s="211"/>
      <c r="K12" s="210">
        <v>273.39299999999997</v>
      </c>
      <c r="L12" s="211"/>
    </row>
    <row r="13" spans="1:12" ht="12.25" customHeight="1">
      <c r="A13" s="207" t="s">
        <v>425</v>
      </c>
      <c r="C13" s="210">
        <v>25</v>
      </c>
      <c r="D13" s="212"/>
      <c r="E13" s="210">
        <v>25</v>
      </c>
      <c r="F13" s="212"/>
      <c r="G13" s="210">
        <v>20</v>
      </c>
      <c r="H13" s="212"/>
      <c r="I13" s="210">
        <v>20</v>
      </c>
      <c r="J13" s="212"/>
      <c r="K13" s="213" t="s">
        <v>12</v>
      </c>
      <c r="L13" s="211" t="s">
        <v>78</v>
      </c>
    </row>
    <row r="14" spans="1:12" ht="11.25" customHeight="1">
      <c r="A14" s="207" t="s">
        <v>312</v>
      </c>
      <c r="C14" s="210">
        <v>1570</v>
      </c>
      <c r="D14" s="211"/>
      <c r="E14" s="210">
        <v>1900</v>
      </c>
      <c r="F14" s="211"/>
      <c r="G14" s="210">
        <v>2076</v>
      </c>
      <c r="H14" s="211"/>
      <c r="I14" s="210">
        <v>2100</v>
      </c>
      <c r="J14" s="211" t="s">
        <v>8</v>
      </c>
      <c r="K14" s="210">
        <v>2214</v>
      </c>
      <c r="L14" s="211"/>
    </row>
    <row r="15" spans="1:12" ht="11.25" customHeight="1">
      <c r="A15" s="207" t="s">
        <v>261</v>
      </c>
      <c r="C15" s="210">
        <v>11114</v>
      </c>
      <c r="D15" s="211"/>
      <c r="E15" s="210">
        <v>11698</v>
      </c>
      <c r="F15" s="211"/>
      <c r="G15" s="210">
        <v>8906</v>
      </c>
      <c r="H15" s="211" t="s">
        <v>8</v>
      </c>
      <c r="I15" s="210">
        <v>11238</v>
      </c>
      <c r="J15" s="211" t="s">
        <v>8</v>
      </c>
      <c r="K15" s="210">
        <v>11000</v>
      </c>
      <c r="L15" s="211" t="s">
        <v>9</v>
      </c>
    </row>
    <row r="16" spans="1:12" ht="11.25" customHeight="1">
      <c r="A16" s="207" t="s">
        <v>81</v>
      </c>
      <c r="C16" s="210">
        <v>166.36799999999999</v>
      </c>
      <c r="D16" s="211" t="s">
        <v>8</v>
      </c>
      <c r="E16" s="210">
        <v>117.17</v>
      </c>
      <c r="F16" s="211" t="s">
        <v>8</v>
      </c>
      <c r="G16" s="210">
        <v>283.11099999999999</v>
      </c>
      <c r="H16" s="211" t="s">
        <v>8</v>
      </c>
      <c r="I16" s="210">
        <v>469.12200000000001</v>
      </c>
      <c r="J16" s="212"/>
      <c r="K16" s="210">
        <v>550</v>
      </c>
      <c r="L16" s="212"/>
    </row>
    <row r="17" spans="1:12" ht="11.25" customHeight="1">
      <c r="A17" s="207" t="s">
        <v>426</v>
      </c>
      <c r="C17" s="210">
        <v>31150</v>
      </c>
      <c r="D17" s="211"/>
      <c r="E17" s="210">
        <v>32918</v>
      </c>
      <c r="F17" s="211"/>
      <c r="G17" s="210">
        <v>31631</v>
      </c>
      <c r="H17" s="211"/>
      <c r="I17" s="210">
        <v>30900</v>
      </c>
      <c r="J17" s="211" t="s">
        <v>8</v>
      </c>
      <c r="K17" s="210">
        <v>31800</v>
      </c>
      <c r="L17" s="211"/>
    </row>
    <row r="18" spans="1:12" ht="11.25" customHeight="1">
      <c r="A18" s="207" t="s">
        <v>16</v>
      </c>
      <c r="C18" s="210">
        <v>2317</v>
      </c>
      <c r="D18" s="211"/>
      <c r="E18" s="210">
        <v>2106</v>
      </c>
      <c r="F18" s="211"/>
      <c r="G18" s="210">
        <v>1969</v>
      </c>
      <c r="H18" s="211"/>
      <c r="I18" s="210">
        <v>2124</v>
      </c>
      <c r="J18" s="211" t="s">
        <v>8</v>
      </c>
      <c r="K18" s="210">
        <v>2050</v>
      </c>
      <c r="L18" s="211" t="s">
        <v>9</v>
      </c>
    </row>
    <row r="19" spans="1:12" ht="11.25" customHeight="1">
      <c r="A19" s="207" t="s">
        <v>427</v>
      </c>
      <c r="C19" s="210">
        <v>25</v>
      </c>
      <c r="D19" s="211"/>
      <c r="E19" s="210">
        <v>25</v>
      </c>
      <c r="F19" s="212"/>
      <c r="G19" s="210">
        <v>25</v>
      </c>
      <c r="H19" s="212"/>
      <c r="I19" s="210">
        <v>25</v>
      </c>
      <c r="J19" s="212"/>
      <c r="K19" s="210">
        <v>25</v>
      </c>
      <c r="L19" s="212"/>
    </row>
    <row r="20" spans="1:12" ht="11.25" customHeight="1">
      <c r="A20" s="207" t="s">
        <v>226</v>
      </c>
      <c r="C20" s="210">
        <v>15928</v>
      </c>
      <c r="D20" s="211" t="s">
        <v>8</v>
      </c>
      <c r="E20" s="210">
        <v>16305</v>
      </c>
      <c r="F20" s="211" t="s">
        <v>8</v>
      </c>
      <c r="G20" s="210">
        <v>15327</v>
      </c>
      <c r="H20" s="211" t="s">
        <v>8</v>
      </c>
      <c r="I20" s="210">
        <v>15493</v>
      </c>
      <c r="J20" s="211" t="s">
        <v>8</v>
      </c>
      <c r="K20" s="210">
        <v>15569</v>
      </c>
      <c r="L20" s="211"/>
    </row>
    <row r="21" spans="1:12" ht="11.25" customHeight="1">
      <c r="A21" s="207" t="s">
        <v>428</v>
      </c>
      <c r="C21" s="210">
        <v>1377.297</v>
      </c>
      <c r="D21" s="211"/>
      <c r="E21" s="210">
        <v>1579</v>
      </c>
      <c r="F21" s="211"/>
      <c r="G21" s="210">
        <v>1536</v>
      </c>
      <c r="H21" s="211"/>
      <c r="I21" s="210">
        <v>1627</v>
      </c>
      <c r="J21" s="211"/>
      <c r="K21" s="210">
        <v>1666</v>
      </c>
      <c r="L21" s="211" t="s">
        <v>17</v>
      </c>
    </row>
    <row r="22" spans="1:12" ht="11.25" customHeight="1">
      <c r="A22" s="207" t="s">
        <v>429</v>
      </c>
      <c r="C22" s="210">
        <v>222340</v>
      </c>
      <c r="D22" s="211"/>
      <c r="E22" s="210">
        <v>272450</v>
      </c>
      <c r="F22" s="211"/>
      <c r="G22" s="210">
        <v>353240</v>
      </c>
      <c r="H22" s="211"/>
      <c r="I22" s="210">
        <v>419150</v>
      </c>
      <c r="J22" s="211" t="s">
        <v>8</v>
      </c>
      <c r="K22" s="210">
        <v>489240</v>
      </c>
      <c r="L22" s="211"/>
    </row>
    <row r="23" spans="1:12" ht="11.25" customHeight="1">
      <c r="A23" s="207" t="s">
        <v>20</v>
      </c>
      <c r="C23" s="210">
        <v>668.41</v>
      </c>
      <c r="D23" s="211"/>
      <c r="E23" s="210">
        <v>730</v>
      </c>
      <c r="F23" s="211" t="s">
        <v>9</v>
      </c>
      <c r="G23" s="210">
        <v>842</v>
      </c>
      <c r="H23" s="211" t="s">
        <v>8</v>
      </c>
      <c r="I23" s="210">
        <v>1221</v>
      </c>
      <c r="J23" s="211" t="s">
        <v>8</v>
      </c>
      <c r="K23" s="210">
        <v>1260</v>
      </c>
      <c r="L23" s="211" t="s">
        <v>17</v>
      </c>
    </row>
    <row r="24" spans="1:12" ht="11.25" customHeight="1">
      <c r="A24" s="207" t="s">
        <v>317</v>
      </c>
      <c r="C24" s="210">
        <v>433.8</v>
      </c>
      <c r="D24" s="211" t="s">
        <v>8</v>
      </c>
      <c r="E24" s="210">
        <v>80</v>
      </c>
      <c r="F24" s="211" t="s">
        <v>8</v>
      </c>
      <c r="G24" s="210">
        <v>73.64</v>
      </c>
      <c r="H24" s="211" t="s">
        <v>8</v>
      </c>
      <c r="I24" s="210">
        <v>80.516000000000005</v>
      </c>
      <c r="J24" s="211" t="s">
        <v>8</v>
      </c>
      <c r="K24" s="210">
        <v>75</v>
      </c>
      <c r="L24" s="211" t="s">
        <v>9</v>
      </c>
    </row>
    <row r="25" spans="1:12" ht="11.25" customHeight="1">
      <c r="A25" s="207" t="s">
        <v>318</v>
      </c>
      <c r="C25" s="210">
        <v>209.8</v>
      </c>
      <c r="D25" s="211"/>
      <c r="E25" s="210">
        <v>193.2</v>
      </c>
      <c r="F25" s="211"/>
      <c r="G25" s="210">
        <v>245.1</v>
      </c>
      <c r="H25" s="211"/>
      <c r="I25" s="210">
        <v>257.2</v>
      </c>
      <c r="J25" s="211" t="s">
        <v>8</v>
      </c>
      <c r="K25" s="210">
        <v>260</v>
      </c>
      <c r="L25" s="211" t="s">
        <v>9</v>
      </c>
    </row>
    <row r="26" spans="1:12" ht="11.25" customHeight="1">
      <c r="A26" s="207" t="s">
        <v>319</v>
      </c>
      <c r="C26" s="210">
        <v>6783</v>
      </c>
      <c r="D26" s="211"/>
      <c r="E26" s="210">
        <v>7033</v>
      </c>
      <c r="F26" s="211"/>
      <c r="G26" s="210">
        <v>6189</v>
      </c>
      <c r="H26" s="211"/>
      <c r="I26" s="210">
        <v>6862</v>
      </c>
      <c r="J26" s="211" t="s">
        <v>8</v>
      </c>
      <c r="K26" s="210">
        <v>7059</v>
      </c>
      <c r="L26" s="212"/>
    </row>
    <row r="27" spans="1:12" ht="12.25" customHeight="1">
      <c r="A27" s="207" t="s">
        <v>430</v>
      </c>
      <c r="C27" s="213" t="s">
        <v>12</v>
      </c>
      <c r="D27" s="211" t="s">
        <v>8</v>
      </c>
      <c r="E27" s="213" t="s">
        <v>12</v>
      </c>
      <c r="F27" s="211" t="s">
        <v>8</v>
      </c>
      <c r="G27" s="213" t="s">
        <v>12</v>
      </c>
      <c r="H27" s="211" t="s">
        <v>8</v>
      </c>
      <c r="I27" s="213" t="s">
        <v>12</v>
      </c>
      <c r="J27" s="211" t="s">
        <v>8</v>
      </c>
      <c r="K27" s="213" t="s">
        <v>12</v>
      </c>
      <c r="L27" s="211" t="s">
        <v>78</v>
      </c>
    </row>
    <row r="28" spans="1:12" ht="11.25" customHeight="1">
      <c r="A28" s="207" t="s">
        <v>322</v>
      </c>
      <c r="C28" s="210">
        <v>79.793999999999997</v>
      </c>
      <c r="D28" s="211"/>
      <c r="E28" s="210">
        <v>72</v>
      </c>
      <c r="F28" s="211" t="s">
        <v>8</v>
      </c>
      <c r="G28" s="210">
        <v>84</v>
      </c>
      <c r="H28" s="211" t="s">
        <v>8</v>
      </c>
      <c r="I28" s="210">
        <v>85</v>
      </c>
      <c r="J28" s="211" t="s">
        <v>8</v>
      </c>
      <c r="K28" s="210">
        <v>87</v>
      </c>
      <c r="L28" s="211" t="s">
        <v>17</v>
      </c>
    </row>
    <row r="29" spans="1:12" ht="11.25" customHeight="1">
      <c r="A29" s="207" t="s">
        <v>21</v>
      </c>
      <c r="C29" s="210">
        <v>4368</v>
      </c>
      <c r="D29" s="211" t="s">
        <v>8</v>
      </c>
      <c r="E29" s="210">
        <v>4777</v>
      </c>
      <c r="F29" s="211" t="s">
        <v>8</v>
      </c>
      <c r="G29" s="210">
        <v>5565</v>
      </c>
      <c r="H29" s="211" t="s">
        <v>8</v>
      </c>
      <c r="I29" s="210">
        <v>6004</v>
      </c>
      <c r="J29" s="211" t="s">
        <v>8</v>
      </c>
      <c r="K29" s="210">
        <v>6182</v>
      </c>
      <c r="L29" s="211"/>
    </row>
    <row r="30" spans="1:12" ht="11.25" customHeight="1">
      <c r="A30" s="207" t="s">
        <v>323</v>
      </c>
      <c r="C30" s="210">
        <v>56.9</v>
      </c>
      <c r="D30" s="211"/>
      <c r="E30" s="210">
        <v>59</v>
      </c>
      <c r="F30" s="211"/>
      <c r="G30" s="210">
        <v>48</v>
      </c>
      <c r="H30" s="211"/>
      <c r="I30" s="210">
        <v>72</v>
      </c>
      <c r="J30" s="211" t="s">
        <v>8</v>
      </c>
      <c r="K30" s="210">
        <v>73</v>
      </c>
      <c r="L30" s="211" t="s">
        <v>17</v>
      </c>
    </row>
    <row r="31" spans="1:12" ht="12.25" customHeight="1">
      <c r="A31" s="207" t="s">
        <v>431</v>
      </c>
      <c r="C31" s="210">
        <v>6</v>
      </c>
      <c r="D31" s="211"/>
      <c r="E31" s="210">
        <v>30</v>
      </c>
      <c r="F31" s="211"/>
      <c r="G31" s="210">
        <v>60</v>
      </c>
      <c r="H31" s="211"/>
      <c r="I31" s="210">
        <v>60</v>
      </c>
      <c r="J31" s="211"/>
      <c r="K31" s="210">
        <v>110</v>
      </c>
      <c r="L31" s="211"/>
    </row>
    <row r="32" spans="1:12" ht="11.25" customHeight="1">
      <c r="A32" s="207" t="s">
        <v>267</v>
      </c>
      <c r="C32" s="210">
        <v>4766</v>
      </c>
      <c r="D32" s="211"/>
      <c r="E32" s="210">
        <v>4833</v>
      </c>
      <c r="F32" s="211"/>
      <c r="G32" s="210">
        <v>4738</v>
      </c>
      <c r="H32" s="211" t="s">
        <v>8</v>
      </c>
      <c r="I32" s="210">
        <v>5052</v>
      </c>
      <c r="J32" s="211" t="s">
        <v>8</v>
      </c>
      <c r="K32" s="210">
        <v>5000</v>
      </c>
      <c r="L32" s="211" t="s">
        <v>9</v>
      </c>
    </row>
    <row r="33" spans="1:12" ht="11.25" customHeight="1">
      <c r="A33" s="207" t="s">
        <v>268</v>
      </c>
      <c r="C33" s="210">
        <v>19803</v>
      </c>
      <c r="D33" s="211" t="s">
        <v>8</v>
      </c>
      <c r="E33" s="210">
        <v>20770</v>
      </c>
      <c r="F33" s="211"/>
      <c r="G33" s="210">
        <v>19481</v>
      </c>
      <c r="H33" s="211"/>
      <c r="I33" s="210">
        <v>19857</v>
      </c>
      <c r="J33" s="211" t="s">
        <v>8</v>
      </c>
      <c r="K33" s="210">
        <v>19252</v>
      </c>
      <c r="L33" s="211"/>
    </row>
    <row r="34" spans="1:12" ht="11.25" customHeight="1">
      <c r="A34" s="207" t="s">
        <v>22</v>
      </c>
      <c r="C34" s="210">
        <v>44809</v>
      </c>
      <c r="D34" s="211"/>
      <c r="E34" s="210">
        <v>46374</v>
      </c>
      <c r="F34" s="211"/>
      <c r="G34" s="210">
        <v>44524</v>
      </c>
      <c r="H34" s="211"/>
      <c r="I34" s="210">
        <v>47224</v>
      </c>
      <c r="J34" s="211" t="s">
        <v>8</v>
      </c>
      <c r="K34" s="210">
        <v>48550</v>
      </c>
      <c r="L34" s="211"/>
    </row>
    <row r="35" spans="1:12" ht="12.25" customHeight="1">
      <c r="A35" s="207" t="s">
        <v>432</v>
      </c>
      <c r="C35" s="210">
        <v>25</v>
      </c>
      <c r="D35" s="211" t="s">
        <v>8</v>
      </c>
      <c r="E35" s="210">
        <v>25</v>
      </c>
      <c r="F35" s="211" t="s">
        <v>8</v>
      </c>
      <c r="G35" s="210">
        <v>25</v>
      </c>
      <c r="H35" s="211" t="s">
        <v>8</v>
      </c>
      <c r="I35" s="210">
        <v>25</v>
      </c>
      <c r="J35" s="211" t="s">
        <v>8</v>
      </c>
      <c r="K35" s="210">
        <v>25</v>
      </c>
      <c r="L35" s="212"/>
    </row>
    <row r="36" spans="1:12" ht="11.25" customHeight="1">
      <c r="A36" s="207" t="s">
        <v>326</v>
      </c>
      <c r="C36" s="210">
        <v>1701</v>
      </c>
      <c r="D36" s="211"/>
      <c r="E36" s="210">
        <v>1967</v>
      </c>
      <c r="F36" s="211"/>
      <c r="G36" s="210">
        <v>2266</v>
      </c>
      <c r="H36" s="211"/>
      <c r="I36" s="210">
        <v>2416</v>
      </c>
      <c r="J36" s="211" t="s">
        <v>8</v>
      </c>
      <c r="K36" s="210">
        <v>2400</v>
      </c>
      <c r="L36" s="211" t="s">
        <v>9</v>
      </c>
    </row>
    <row r="37" spans="1:12" ht="11.25" customHeight="1">
      <c r="A37" s="207" t="s">
        <v>23</v>
      </c>
      <c r="C37" s="210">
        <v>226.15600000000001</v>
      </c>
      <c r="D37" s="211"/>
      <c r="E37" s="210">
        <v>232</v>
      </c>
      <c r="F37" s="211"/>
      <c r="G37" s="210">
        <v>207</v>
      </c>
      <c r="H37" s="211" t="s">
        <v>8</v>
      </c>
      <c r="I37" s="210">
        <v>292</v>
      </c>
      <c r="J37" s="211"/>
      <c r="K37" s="210">
        <v>349</v>
      </c>
      <c r="L37" s="211" t="s">
        <v>17</v>
      </c>
    </row>
    <row r="38" spans="1:12" ht="12.25" customHeight="1">
      <c r="A38" s="207" t="s">
        <v>433</v>
      </c>
      <c r="C38" s="210">
        <v>500</v>
      </c>
      <c r="D38" s="212"/>
      <c r="E38" s="210">
        <v>500</v>
      </c>
      <c r="F38" s="212"/>
      <c r="G38" s="210">
        <v>500</v>
      </c>
      <c r="H38" s="212"/>
      <c r="I38" s="210">
        <v>550</v>
      </c>
      <c r="J38" s="212"/>
      <c r="K38" s="210">
        <v>550</v>
      </c>
      <c r="L38" s="212"/>
    </row>
    <row r="39" spans="1:12" ht="11.25" customHeight="1">
      <c r="A39" s="207" t="s">
        <v>328</v>
      </c>
      <c r="C39" s="210">
        <v>1983</v>
      </c>
      <c r="D39" s="211" t="s">
        <v>8</v>
      </c>
      <c r="E39" s="210">
        <v>1957</v>
      </c>
      <c r="F39" s="211" t="s">
        <v>8</v>
      </c>
      <c r="G39" s="210">
        <v>1962</v>
      </c>
      <c r="H39" s="211"/>
      <c r="I39" s="210">
        <v>2029</v>
      </c>
      <c r="J39" s="211" t="s">
        <v>8</v>
      </c>
      <c r="K39" s="210">
        <v>2227</v>
      </c>
      <c r="L39" s="211"/>
    </row>
    <row r="40" spans="1:12" ht="11.25" customHeight="1">
      <c r="A40" s="207" t="s">
        <v>24</v>
      </c>
      <c r="C40" s="210">
        <v>31779</v>
      </c>
      <c r="D40" s="211"/>
      <c r="E40" s="210">
        <v>32600</v>
      </c>
      <c r="F40" s="211"/>
      <c r="G40" s="210">
        <v>45800</v>
      </c>
      <c r="H40" s="211" t="s">
        <v>8</v>
      </c>
      <c r="I40" s="210">
        <v>49500</v>
      </c>
      <c r="J40" s="211" t="s">
        <v>8</v>
      </c>
      <c r="K40" s="210">
        <v>53100</v>
      </c>
      <c r="L40" s="211"/>
    </row>
    <row r="41" spans="1:12" ht="11.25" customHeight="1">
      <c r="A41" s="207" t="s">
        <v>25</v>
      </c>
      <c r="C41" s="210">
        <v>2042</v>
      </c>
      <c r="D41" s="211"/>
      <c r="E41" s="210">
        <v>2412</v>
      </c>
      <c r="F41" s="211"/>
      <c r="G41" s="210">
        <v>3675</v>
      </c>
      <c r="H41" s="211" t="s">
        <v>8</v>
      </c>
      <c r="I41" s="210">
        <v>3800</v>
      </c>
      <c r="J41" s="212"/>
      <c r="K41" s="210">
        <v>3900</v>
      </c>
      <c r="L41" s="212"/>
    </row>
    <row r="42" spans="1:12" ht="11.25" customHeight="1">
      <c r="A42" s="207" t="s">
        <v>230</v>
      </c>
      <c r="C42" s="210">
        <v>7869</v>
      </c>
      <c r="D42" s="211"/>
      <c r="E42" s="210">
        <v>8682</v>
      </c>
      <c r="F42" s="211" t="s">
        <v>8</v>
      </c>
      <c r="G42" s="210">
        <v>9405</v>
      </c>
      <c r="H42" s="211"/>
      <c r="I42" s="210">
        <v>9800</v>
      </c>
      <c r="J42" s="211" t="s">
        <v>9</v>
      </c>
      <c r="K42" s="210">
        <v>10100</v>
      </c>
      <c r="L42" s="211" t="s">
        <v>9</v>
      </c>
    </row>
    <row r="43" spans="1:12" ht="11.25" customHeight="1">
      <c r="A43" s="207" t="s">
        <v>434</v>
      </c>
      <c r="B43" s="214"/>
      <c r="C43" s="210">
        <v>180</v>
      </c>
      <c r="D43" s="211" t="s">
        <v>8</v>
      </c>
      <c r="E43" s="210">
        <v>370</v>
      </c>
      <c r="F43" s="211" t="s">
        <v>8</v>
      </c>
      <c r="G43" s="210">
        <v>480</v>
      </c>
      <c r="H43" s="211" t="s">
        <v>8</v>
      </c>
      <c r="I43" s="210">
        <v>480</v>
      </c>
      <c r="J43" s="211" t="s">
        <v>8</v>
      </c>
      <c r="K43" s="210">
        <v>480</v>
      </c>
      <c r="L43" s="212"/>
    </row>
    <row r="44" spans="1:12" ht="11.25" customHeight="1">
      <c r="A44" s="207" t="s">
        <v>272</v>
      </c>
      <c r="B44" s="214"/>
      <c r="C44" s="210">
        <v>26832</v>
      </c>
      <c r="D44" s="211"/>
      <c r="E44" s="210">
        <v>28317</v>
      </c>
      <c r="F44" s="211"/>
      <c r="G44" s="210">
        <v>29061</v>
      </c>
      <c r="H44" s="211"/>
      <c r="I44" s="210">
        <v>31550</v>
      </c>
      <c r="J44" s="211"/>
      <c r="K44" s="210">
        <v>31990</v>
      </c>
      <c r="L44" s="211"/>
    </row>
    <row r="45" spans="1:12" ht="11.25" customHeight="1">
      <c r="A45" s="207" t="s">
        <v>26</v>
      </c>
      <c r="B45" s="214"/>
      <c r="C45" s="210">
        <v>110510.52</v>
      </c>
      <c r="D45" s="211"/>
      <c r="E45" s="210">
        <v>112717.664</v>
      </c>
      <c r="F45" s="211"/>
      <c r="G45" s="210">
        <v>112471.374</v>
      </c>
      <c r="H45" s="211"/>
      <c r="I45" s="210">
        <v>116266</v>
      </c>
      <c r="J45" s="211" t="s">
        <v>8</v>
      </c>
      <c r="K45" s="210">
        <v>120203</v>
      </c>
      <c r="L45" s="211"/>
    </row>
    <row r="46" spans="1:12" ht="12.25" customHeight="1">
      <c r="A46" s="207" t="s">
        <v>435</v>
      </c>
      <c r="B46" s="214"/>
      <c r="C46" s="210">
        <v>135</v>
      </c>
      <c r="D46" s="211" t="s">
        <v>78</v>
      </c>
      <c r="E46" s="210">
        <v>140</v>
      </c>
      <c r="F46" s="211" t="s">
        <v>78</v>
      </c>
      <c r="G46" s="210">
        <v>150</v>
      </c>
      <c r="H46" s="211" t="s">
        <v>8</v>
      </c>
      <c r="I46" s="210">
        <v>150</v>
      </c>
      <c r="J46" s="211" t="s">
        <v>8</v>
      </c>
      <c r="K46" s="210">
        <v>150</v>
      </c>
      <c r="L46" s="211"/>
    </row>
    <row r="47" spans="1:12" ht="11.25" customHeight="1">
      <c r="A47" s="207" t="s">
        <v>28</v>
      </c>
      <c r="B47" s="214"/>
      <c r="C47" s="210">
        <v>5069.4009999999998</v>
      </c>
      <c r="D47" s="211" t="s">
        <v>8</v>
      </c>
      <c r="E47" s="210">
        <v>5371.6980000000003</v>
      </c>
      <c r="F47" s="211" t="s">
        <v>8</v>
      </c>
      <c r="G47" s="210">
        <v>4476.6419999999998</v>
      </c>
      <c r="H47" s="211" t="s">
        <v>8</v>
      </c>
      <c r="I47" s="210">
        <v>4244.5209999999997</v>
      </c>
      <c r="J47" s="211" t="s">
        <v>8</v>
      </c>
      <c r="K47" s="210">
        <v>4784.1049999999996</v>
      </c>
      <c r="L47" s="211"/>
    </row>
    <row r="48" spans="1:12" ht="11.25" customHeight="1">
      <c r="A48" s="207" t="s">
        <v>84</v>
      </c>
      <c r="B48" s="214"/>
      <c r="C48" s="210">
        <v>1090</v>
      </c>
      <c r="D48" s="211"/>
      <c r="E48" s="210">
        <v>1070</v>
      </c>
      <c r="F48" s="212"/>
      <c r="G48" s="210">
        <v>1070</v>
      </c>
      <c r="H48" s="212"/>
      <c r="I48" s="210">
        <v>1180</v>
      </c>
      <c r="J48" s="211" t="s">
        <v>8</v>
      </c>
      <c r="K48" s="210">
        <v>1230</v>
      </c>
      <c r="L48" s="212"/>
    </row>
    <row r="49" spans="1:12" ht="11.25" customHeight="1">
      <c r="A49" s="207" t="s">
        <v>31</v>
      </c>
      <c r="B49" s="214"/>
      <c r="C49" s="210">
        <v>46309.629000000001</v>
      </c>
      <c r="D49" s="211"/>
      <c r="E49" s="210">
        <v>47520.870999999999</v>
      </c>
      <c r="F49" s="211"/>
      <c r="G49" s="210">
        <v>47820.036999999997</v>
      </c>
      <c r="H49" s="211"/>
      <c r="I49" s="210">
        <v>48455.453999999998</v>
      </c>
      <c r="J49" s="211" t="s">
        <v>8</v>
      </c>
      <c r="K49" s="210">
        <v>51517.309000000001</v>
      </c>
      <c r="L49" s="211"/>
    </row>
    <row r="50" spans="1:12" ht="11.25" customHeight="1">
      <c r="A50" s="207" t="s">
        <v>436</v>
      </c>
      <c r="B50" s="214"/>
      <c r="C50" s="210">
        <v>545.62599999999998</v>
      </c>
      <c r="D50" s="211" t="s">
        <v>78</v>
      </c>
      <c r="E50" s="210">
        <v>553.68399999999997</v>
      </c>
      <c r="F50" s="211" t="s">
        <v>78</v>
      </c>
      <c r="G50" s="210">
        <v>550</v>
      </c>
      <c r="H50" s="211"/>
      <c r="I50" s="210">
        <v>550</v>
      </c>
      <c r="J50" s="211"/>
      <c r="K50" s="210">
        <v>550</v>
      </c>
      <c r="L50" s="211"/>
    </row>
    <row r="51" spans="1:12" ht="11.25" customHeight="1">
      <c r="A51" s="207" t="s">
        <v>334</v>
      </c>
      <c r="B51" s="214"/>
      <c r="C51" s="210">
        <v>1007</v>
      </c>
      <c r="D51" s="211"/>
      <c r="E51" s="210">
        <v>1026</v>
      </c>
      <c r="F51" s="211"/>
      <c r="G51" s="210">
        <v>1260</v>
      </c>
      <c r="H51" s="211"/>
      <c r="I51" s="210">
        <v>1151</v>
      </c>
      <c r="J51" s="211" t="s">
        <v>8</v>
      </c>
      <c r="K51" s="210">
        <v>1250</v>
      </c>
      <c r="L51" s="211" t="s">
        <v>9</v>
      </c>
    </row>
    <row r="52" spans="1:12" ht="11.25" customHeight="1">
      <c r="A52" s="207" t="s">
        <v>335</v>
      </c>
      <c r="B52" s="214"/>
      <c r="C52" s="210">
        <v>2675</v>
      </c>
      <c r="D52" s="211"/>
      <c r="E52" s="210">
        <v>2684</v>
      </c>
      <c r="F52" s="211"/>
      <c r="G52" s="210">
        <v>2194</v>
      </c>
      <c r="H52" s="211"/>
      <c r="I52" s="210">
        <v>2802</v>
      </c>
      <c r="J52" s="211" t="s">
        <v>8</v>
      </c>
      <c r="K52" s="210">
        <v>2800</v>
      </c>
      <c r="L52" s="211" t="s">
        <v>9</v>
      </c>
    </row>
    <row r="53" spans="1:12" ht="11.25" customHeight="1">
      <c r="A53" s="207" t="s">
        <v>336</v>
      </c>
      <c r="B53" s="214"/>
      <c r="C53" s="210">
        <v>291.35399999999998</v>
      </c>
      <c r="D53" s="211"/>
      <c r="E53" s="210">
        <v>315</v>
      </c>
      <c r="F53" s="211" t="s">
        <v>8</v>
      </c>
      <c r="G53" s="210">
        <v>321.17</v>
      </c>
      <c r="H53" s="211" t="s">
        <v>8</v>
      </c>
      <c r="I53" s="210">
        <v>326.48399999999998</v>
      </c>
      <c r="J53" s="211" t="s">
        <v>8</v>
      </c>
      <c r="K53" s="210">
        <v>359</v>
      </c>
      <c r="L53" s="212"/>
    </row>
    <row r="54" spans="1:12" ht="11.25" customHeight="1">
      <c r="A54" s="207" t="s">
        <v>32</v>
      </c>
      <c r="B54" s="214"/>
      <c r="C54" s="210">
        <v>3960</v>
      </c>
      <c r="D54" s="211"/>
      <c r="E54" s="210">
        <v>5698</v>
      </c>
      <c r="F54" s="211"/>
      <c r="G54" s="210">
        <v>5296</v>
      </c>
      <c r="H54" s="211"/>
      <c r="I54" s="210">
        <v>5834</v>
      </c>
      <c r="J54" s="211" t="s">
        <v>8</v>
      </c>
      <c r="K54" s="210">
        <v>6000</v>
      </c>
      <c r="L54" s="211" t="s">
        <v>9</v>
      </c>
    </row>
    <row r="55" spans="1:12" ht="11.25" customHeight="1">
      <c r="A55" s="441" t="s">
        <v>203</v>
      </c>
      <c r="B55" s="441"/>
      <c r="C55" s="441"/>
      <c r="D55" s="441"/>
      <c r="E55" s="441"/>
      <c r="F55" s="441"/>
      <c r="G55" s="441"/>
      <c r="H55" s="441"/>
      <c r="I55" s="441"/>
      <c r="J55" s="441"/>
      <c r="K55" s="441"/>
      <c r="L55" s="441"/>
    </row>
    <row r="57" spans="1:12" ht="11.25" customHeight="1">
      <c r="A57" s="443" t="s">
        <v>437</v>
      </c>
      <c r="B57" s="443"/>
      <c r="C57" s="443"/>
      <c r="D57" s="443"/>
      <c r="E57" s="443"/>
      <c r="F57" s="443"/>
      <c r="G57" s="443"/>
      <c r="H57" s="443"/>
      <c r="I57" s="443"/>
      <c r="J57" s="443"/>
      <c r="K57" s="443"/>
      <c r="L57" s="443"/>
    </row>
    <row r="58" spans="1:12" ht="11.25" customHeight="1">
      <c r="A58" s="443" t="s">
        <v>421</v>
      </c>
      <c r="B58" s="443"/>
      <c r="C58" s="443"/>
      <c r="D58" s="443"/>
      <c r="E58" s="443"/>
      <c r="F58" s="443"/>
      <c r="G58" s="443"/>
      <c r="H58" s="443"/>
      <c r="I58" s="443"/>
      <c r="J58" s="443"/>
      <c r="K58" s="443"/>
      <c r="L58" s="443"/>
    </row>
    <row r="59" spans="1:12" ht="11.25" customHeight="1">
      <c r="A59" s="443"/>
      <c r="B59" s="443"/>
      <c r="C59" s="443"/>
      <c r="D59" s="443"/>
      <c r="E59" s="443"/>
      <c r="F59" s="443"/>
      <c r="G59" s="443"/>
      <c r="H59" s="443"/>
      <c r="I59" s="443"/>
      <c r="J59" s="443"/>
      <c r="K59" s="443"/>
      <c r="L59" s="443"/>
    </row>
    <row r="60" spans="1:12" ht="11.25" customHeight="1">
      <c r="A60" s="443" t="s">
        <v>0</v>
      </c>
      <c r="B60" s="443"/>
      <c r="C60" s="443"/>
      <c r="D60" s="443"/>
      <c r="E60" s="443"/>
      <c r="F60" s="443"/>
      <c r="G60" s="443"/>
      <c r="H60" s="443"/>
      <c r="I60" s="443"/>
      <c r="J60" s="443"/>
      <c r="K60" s="443"/>
      <c r="L60" s="443"/>
    </row>
    <row r="61" spans="1:12" ht="11.25" customHeight="1">
      <c r="A61" s="444"/>
      <c r="B61" s="444"/>
      <c r="C61" s="444"/>
      <c r="D61" s="444"/>
      <c r="E61" s="444"/>
      <c r="F61" s="444"/>
      <c r="G61" s="444"/>
      <c r="H61" s="444"/>
      <c r="I61" s="444"/>
      <c r="J61" s="444"/>
      <c r="K61" s="444"/>
      <c r="L61" s="444"/>
    </row>
    <row r="62" spans="1:12" ht="12.25" customHeight="1">
      <c r="A62" s="206" t="s">
        <v>422</v>
      </c>
      <c r="B62" s="207"/>
      <c r="C62" s="208" t="s">
        <v>74</v>
      </c>
      <c r="D62" s="209"/>
      <c r="E62" s="208" t="s">
        <v>75</v>
      </c>
      <c r="F62" s="209"/>
      <c r="G62" s="208" t="s">
        <v>76</v>
      </c>
      <c r="H62" s="209"/>
      <c r="I62" s="208" t="s">
        <v>77</v>
      </c>
      <c r="J62" s="209"/>
      <c r="K62" s="208" t="s">
        <v>423</v>
      </c>
      <c r="L62" s="209"/>
    </row>
    <row r="63" spans="1:12" ht="11.25" customHeight="1">
      <c r="A63" s="207" t="s">
        <v>33</v>
      </c>
      <c r="B63" s="214"/>
      <c r="C63" s="210">
        <v>5</v>
      </c>
      <c r="D63" s="211" t="s">
        <v>9</v>
      </c>
      <c r="E63" s="210">
        <v>5</v>
      </c>
      <c r="F63" s="211" t="s">
        <v>9</v>
      </c>
      <c r="G63" s="210">
        <v>1.2629999999999999</v>
      </c>
      <c r="H63" s="211" t="s">
        <v>8</v>
      </c>
      <c r="I63" s="210">
        <v>1.0649999999999999</v>
      </c>
      <c r="J63" s="211" t="s">
        <v>8</v>
      </c>
      <c r="K63" s="210">
        <v>1.1000000000000001</v>
      </c>
      <c r="L63" s="211" t="s">
        <v>9</v>
      </c>
    </row>
    <row r="64" spans="1:12" ht="11.25" customHeight="1">
      <c r="A64" s="207" t="s">
        <v>234</v>
      </c>
      <c r="B64" s="214"/>
      <c r="C64" s="215">
        <v>15159</v>
      </c>
      <c r="D64" s="211"/>
      <c r="E64" s="215">
        <v>16737</v>
      </c>
      <c r="F64" s="211"/>
      <c r="G64" s="215">
        <v>16202</v>
      </c>
      <c r="H64" s="211" t="s">
        <v>8</v>
      </c>
      <c r="I64" s="215">
        <v>16313</v>
      </c>
      <c r="J64" s="211"/>
      <c r="K64" s="215">
        <v>16300</v>
      </c>
      <c r="L64" s="211" t="s">
        <v>9</v>
      </c>
    </row>
    <row r="65" spans="1:12" ht="11.25" customHeight="1">
      <c r="A65" s="207" t="s">
        <v>337</v>
      </c>
      <c r="B65" s="214"/>
      <c r="C65" s="215">
        <v>886</v>
      </c>
      <c r="D65" s="211"/>
      <c r="E65" s="215">
        <v>1012.6</v>
      </c>
      <c r="F65" s="211"/>
      <c r="G65" s="215">
        <v>1016</v>
      </c>
      <c r="H65" s="211" t="s">
        <v>8</v>
      </c>
      <c r="I65" s="215">
        <v>675.4</v>
      </c>
      <c r="J65" s="212"/>
      <c r="K65" s="215">
        <v>995</v>
      </c>
      <c r="L65" s="212"/>
    </row>
    <row r="66" spans="1:12" ht="11.25" customHeight="1">
      <c r="A66" s="207" t="s">
        <v>438</v>
      </c>
      <c r="B66" s="214"/>
      <c r="C66" s="216" t="s">
        <v>439</v>
      </c>
      <c r="D66" s="211" t="s">
        <v>440</v>
      </c>
      <c r="E66" s="216" t="s">
        <v>439</v>
      </c>
      <c r="F66" s="211" t="s">
        <v>440</v>
      </c>
      <c r="G66" s="216" t="s">
        <v>439</v>
      </c>
      <c r="H66" s="211" t="s">
        <v>440</v>
      </c>
      <c r="I66" s="215">
        <v>49.978000000000002</v>
      </c>
      <c r="J66" s="212"/>
      <c r="K66" s="215">
        <v>174</v>
      </c>
      <c r="L66" s="212"/>
    </row>
    <row r="67" spans="1:12" ht="11.25" customHeight="1">
      <c r="A67" s="207" t="s">
        <v>34</v>
      </c>
      <c r="C67" s="215">
        <v>5</v>
      </c>
      <c r="D67" s="211" t="s">
        <v>9</v>
      </c>
      <c r="E67" s="215">
        <v>5</v>
      </c>
      <c r="F67" s="211" t="s">
        <v>9</v>
      </c>
      <c r="G67" s="215">
        <v>205</v>
      </c>
      <c r="H67" s="211" t="s">
        <v>8</v>
      </c>
      <c r="I67" s="215">
        <v>314</v>
      </c>
      <c r="J67" s="211" t="s">
        <v>8</v>
      </c>
      <c r="K67" s="215">
        <v>314</v>
      </c>
      <c r="L67" s="212"/>
    </row>
    <row r="68" spans="1:12" ht="11.25" customHeight="1">
      <c r="A68" s="207" t="s">
        <v>339</v>
      </c>
      <c r="B68" s="214"/>
      <c r="C68" s="215">
        <v>6571</v>
      </c>
      <c r="D68" s="211"/>
      <c r="E68" s="215">
        <v>6848</v>
      </c>
      <c r="F68" s="211"/>
      <c r="G68" s="215">
        <v>6919</v>
      </c>
      <c r="H68" s="211"/>
      <c r="I68" s="215">
        <v>6372</v>
      </c>
      <c r="J68" s="211" t="s">
        <v>8</v>
      </c>
      <c r="K68" s="215">
        <v>6400</v>
      </c>
      <c r="L68" s="211" t="s">
        <v>9</v>
      </c>
    </row>
    <row r="69" spans="1:12" ht="11.25" customHeight="1">
      <c r="A69" s="207" t="s">
        <v>277</v>
      </c>
      <c r="B69" s="214"/>
      <c r="C69" s="215">
        <v>750</v>
      </c>
      <c r="D69" s="212"/>
      <c r="E69" s="215">
        <v>850</v>
      </c>
      <c r="F69" s="211"/>
      <c r="G69" s="215">
        <v>889</v>
      </c>
      <c r="H69" s="211" t="s">
        <v>8</v>
      </c>
      <c r="I69" s="215">
        <v>862</v>
      </c>
      <c r="J69" s="211" t="s">
        <v>8</v>
      </c>
      <c r="K69" s="215">
        <v>845</v>
      </c>
      <c r="L69" s="212"/>
    </row>
    <row r="70" spans="1:12" ht="11.25" customHeight="1">
      <c r="A70" s="207" t="s">
        <v>441</v>
      </c>
      <c r="B70" s="214"/>
      <c r="C70" s="215">
        <v>698</v>
      </c>
      <c r="D70" s="211"/>
      <c r="E70" s="215">
        <v>695</v>
      </c>
      <c r="F70" s="212"/>
      <c r="G70" s="215">
        <v>701</v>
      </c>
      <c r="H70" s="211" t="s">
        <v>8</v>
      </c>
      <c r="I70" s="215">
        <v>679</v>
      </c>
      <c r="J70" s="211" t="s">
        <v>8</v>
      </c>
      <c r="K70" s="215">
        <v>680</v>
      </c>
      <c r="L70" s="211"/>
    </row>
    <row r="71" spans="1:12" ht="11.25" customHeight="1">
      <c r="A71" s="207" t="s">
        <v>236</v>
      </c>
      <c r="B71" s="214"/>
      <c r="C71" s="215">
        <v>1000</v>
      </c>
      <c r="D71" s="211" t="s">
        <v>8</v>
      </c>
      <c r="E71" s="215">
        <v>1145</v>
      </c>
      <c r="F71" s="211" t="s">
        <v>8</v>
      </c>
      <c r="G71" s="215">
        <v>825</v>
      </c>
      <c r="H71" s="211" t="s">
        <v>8</v>
      </c>
      <c r="I71" s="215">
        <v>1040</v>
      </c>
      <c r="J71" s="211" t="s">
        <v>8</v>
      </c>
      <c r="K71" s="215">
        <v>1090</v>
      </c>
      <c r="L71" s="212"/>
    </row>
    <row r="72" spans="1:12" ht="11.25" customHeight="1">
      <c r="A72" s="207" t="s">
        <v>280</v>
      </c>
      <c r="B72" s="214"/>
      <c r="C72" s="210">
        <v>91</v>
      </c>
      <c r="D72" s="211" t="s">
        <v>8</v>
      </c>
      <c r="E72" s="210">
        <v>107</v>
      </c>
      <c r="F72" s="211" t="s">
        <v>8</v>
      </c>
      <c r="G72" s="210">
        <v>101</v>
      </c>
      <c r="H72" s="211" t="s">
        <v>8</v>
      </c>
      <c r="I72" s="210">
        <v>115</v>
      </c>
      <c r="J72" s="211" t="s">
        <v>8</v>
      </c>
      <c r="K72" s="210">
        <v>105</v>
      </c>
      <c r="L72" s="211" t="s">
        <v>9</v>
      </c>
    </row>
    <row r="73" spans="1:12" ht="11.25" customHeight="1">
      <c r="A73" s="207" t="s">
        <v>36</v>
      </c>
      <c r="B73" s="214"/>
      <c r="C73" s="210">
        <v>669</v>
      </c>
      <c r="D73" s="211" t="s">
        <v>8</v>
      </c>
      <c r="E73" s="210">
        <v>725</v>
      </c>
      <c r="F73" s="211" t="s">
        <v>8</v>
      </c>
      <c r="G73" s="210">
        <v>790</v>
      </c>
      <c r="H73" s="211" t="s">
        <v>8</v>
      </c>
      <c r="I73" s="210">
        <v>896</v>
      </c>
      <c r="J73" s="211" t="s">
        <v>8</v>
      </c>
      <c r="K73" s="210">
        <v>750</v>
      </c>
      <c r="L73" s="211" t="s">
        <v>9</v>
      </c>
    </row>
    <row r="74" spans="1:12" ht="11.25" customHeight="1">
      <c r="A74" s="207" t="s">
        <v>237</v>
      </c>
      <c r="B74" s="214"/>
      <c r="C74" s="210">
        <v>500</v>
      </c>
      <c r="D74" s="211" t="s">
        <v>8</v>
      </c>
      <c r="E74" s="210">
        <v>400</v>
      </c>
      <c r="F74" s="211" t="s">
        <v>8</v>
      </c>
      <c r="G74" s="210">
        <v>470</v>
      </c>
      <c r="H74" s="211" t="s">
        <v>8</v>
      </c>
      <c r="I74" s="210">
        <v>558</v>
      </c>
      <c r="J74" s="211" t="s">
        <v>8</v>
      </c>
      <c r="K74" s="210">
        <v>590</v>
      </c>
      <c r="L74" s="211"/>
    </row>
    <row r="75" spans="1:12" ht="11.25" customHeight="1">
      <c r="A75" s="207" t="s">
        <v>281</v>
      </c>
      <c r="B75" s="214"/>
      <c r="C75" s="210">
        <v>9107</v>
      </c>
      <c r="D75" s="211"/>
      <c r="E75" s="210">
        <v>10578</v>
      </c>
      <c r="F75" s="211" t="s">
        <v>8</v>
      </c>
      <c r="G75" s="210">
        <v>8336</v>
      </c>
      <c r="H75" s="211"/>
      <c r="I75" s="210">
        <v>9991.6380000000008</v>
      </c>
      <c r="J75" s="211" t="s">
        <v>8</v>
      </c>
      <c r="K75" s="210">
        <v>10630.716</v>
      </c>
      <c r="L75" s="211"/>
    </row>
    <row r="76" spans="1:12" ht="11.25" customHeight="1">
      <c r="A76" s="207" t="s">
        <v>340</v>
      </c>
      <c r="B76" s="214"/>
      <c r="C76" s="210">
        <v>730</v>
      </c>
      <c r="D76" s="211" t="s">
        <v>8</v>
      </c>
      <c r="E76" s="210">
        <v>730</v>
      </c>
      <c r="F76" s="211" t="s">
        <v>8</v>
      </c>
      <c r="G76" s="210">
        <v>1400</v>
      </c>
      <c r="H76" s="211" t="s">
        <v>8</v>
      </c>
      <c r="I76" s="210">
        <v>1400</v>
      </c>
      <c r="J76" s="211" t="s">
        <v>8</v>
      </c>
      <c r="K76" s="210">
        <v>1400</v>
      </c>
      <c r="L76" s="211" t="s">
        <v>9</v>
      </c>
    </row>
    <row r="77" spans="1:12" ht="11.25" customHeight="1">
      <c r="A77" s="207" t="s">
        <v>341</v>
      </c>
      <c r="B77" s="214"/>
      <c r="C77" s="210">
        <v>1054</v>
      </c>
      <c r="D77" s="211"/>
      <c r="E77" s="210">
        <v>1089</v>
      </c>
      <c r="F77" s="211"/>
      <c r="G77" s="210">
        <v>1057</v>
      </c>
      <c r="H77" s="211"/>
      <c r="I77" s="210">
        <v>1003</v>
      </c>
      <c r="J77" s="211" t="s">
        <v>8</v>
      </c>
      <c r="K77" s="210">
        <v>1147</v>
      </c>
      <c r="L77" s="211"/>
    </row>
    <row r="78" spans="1:12" ht="11.25" customHeight="1">
      <c r="A78" s="207" t="s">
        <v>85</v>
      </c>
      <c r="B78" s="214"/>
      <c r="C78" s="210">
        <v>5692</v>
      </c>
      <c r="D78" s="211" t="s">
        <v>8</v>
      </c>
      <c r="E78" s="210">
        <v>6077</v>
      </c>
      <c r="F78" s="211" t="s">
        <v>8</v>
      </c>
      <c r="G78" s="210">
        <v>5632</v>
      </c>
      <c r="H78" s="211" t="s">
        <v>8</v>
      </c>
      <c r="I78" s="210">
        <v>6266.0360000000001</v>
      </c>
      <c r="J78" s="211" t="s">
        <v>8</v>
      </c>
      <c r="K78" s="210">
        <v>6261.3760000000002</v>
      </c>
      <c r="L78" s="211"/>
    </row>
    <row r="79" spans="1:12" ht="11.25" customHeight="1">
      <c r="A79" s="207" t="s">
        <v>37</v>
      </c>
      <c r="B79" s="214"/>
      <c r="C79" s="210">
        <v>62710</v>
      </c>
      <c r="D79" s="211"/>
      <c r="E79" s="210">
        <v>65645.600000000006</v>
      </c>
      <c r="F79" s="211"/>
      <c r="G79" s="210">
        <v>66186.2</v>
      </c>
      <c r="H79" s="211"/>
      <c r="I79" s="210">
        <v>70816</v>
      </c>
      <c r="J79" s="211" t="s">
        <v>8</v>
      </c>
      <c r="K79" s="210">
        <v>72389</v>
      </c>
      <c r="L79" s="211"/>
    </row>
    <row r="80" spans="1:12" ht="11.25" customHeight="1">
      <c r="A80" s="207" t="s">
        <v>342</v>
      </c>
      <c r="B80" s="214"/>
      <c r="C80" s="210">
        <v>3944</v>
      </c>
      <c r="D80" s="211"/>
      <c r="E80" s="210">
        <v>3902</v>
      </c>
      <c r="F80" s="211"/>
      <c r="G80" s="210">
        <v>4185</v>
      </c>
      <c r="H80" s="211"/>
      <c r="I80" s="210">
        <v>3974</v>
      </c>
      <c r="J80" s="211" t="s">
        <v>8</v>
      </c>
      <c r="K80" s="210">
        <v>4600</v>
      </c>
      <c r="L80" s="211" t="s">
        <v>9</v>
      </c>
    </row>
    <row r="81" spans="1:12" ht="11.25" customHeight="1">
      <c r="A81" s="207" t="s">
        <v>398</v>
      </c>
      <c r="B81" s="214"/>
      <c r="C81" s="216" t="s">
        <v>439</v>
      </c>
      <c r="D81" s="211" t="s">
        <v>440</v>
      </c>
      <c r="E81" s="216" t="s">
        <v>439</v>
      </c>
      <c r="F81" s="211" t="s">
        <v>440</v>
      </c>
      <c r="G81" s="216" t="s">
        <v>439</v>
      </c>
      <c r="H81" s="211" t="s">
        <v>440</v>
      </c>
      <c r="I81" s="210">
        <v>1837</v>
      </c>
      <c r="J81" s="211"/>
      <c r="K81" s="210">
        <v>2000</v>
      </c>
      <c r="L81" s="211" t="s">
        <v>9</v>
      </c>
    </row>
    <row r="82" spans="1:12" ht="11.25" customHeight="1">
      <c r="A82" s="207" t="s">
        <v>343</v>
      </c>
      <c r="B82" s="204"/>
      <c r="C82" s="210">
        <v>575.63699999999994</v>
      </c>
      <c r="D82" s="211"/>
      <c r="E82" s="210">
        <v>1196.809</v>
      </c>
      <c r="F82" s="211" t="s">
        <v>8</v>
      </c>
      <c r="G82" s="210">
        <v>1314.115</v>
      </c>
      <c r="H82" s="211" t="s">
        <v>8</v>
      </c>
      <c r="I82" s="213" t="s">
        <v>442</v>
      </c>
      <c r="J82" s="211" t="s">
        <v>443</v>
      </c>
      <c r="K82" s="213" t="s">
        <v>442</v>
      </c>
      <c r="L82" s="211" t="s">
        <v>440</v>
      </c>
    </row>
    <row r="83" spans="1:12" ht="11.25" customHeight="1">
      <c r="A83" s="207" t="s">
        <v>444</v>
      </c>
      <c r="B83" s="214"/>
      <c r="C83" s="210">
        <v>561</v>
      </c>
      <c r="D83" s="211" t="s">
        <v>8</v>
      </c>
      <c r="E83" s="210">
        <v>610</v>
      </c>
      <c r="F83" s="211" t="s">
        <v>8</v>
      </c>
      <c r="G83" s="210">
        <v>572</v>
      </c>
      <c r="H83" s="211" t="s">
        <v>8</v>
      </c>
      <c r="I83" s="210">
        <v>607</v>
      </c>
      <c r="J83" s="211" t="s">
        <v>8</v>
      </c>
      <c r="K83" s="210">
        <v>620</v>
      </c>
      <c r="L83" s="212"/>
    </row>
    <row r="84" spans="1:12" ht="11.25" customHeight="1">
      <c r="A84" s="207" t="s">
        <v>38</v>
      </c>
      <c r="B84" s="214"/>
      <c r="C84" s="210">
        <v>4709</v>
      </c>
      <c r="D84" s="211" t="s">
        <v>8</v>
      </c>
      <c r="E84" s="210">
        <v>4564</v>
      </c>
      <c r="F84" s="211" t="s">
        <v>8</v>
      </c>
      <c r="G84" s="210">
        <v>4242</v>
      </c>
      <c r="H84" s="211" t="s">
        <v>8</v>
      </c>
      <c r="I84" s="210">
        <v>4847.5619999999999</v>
      </c>
      <c r="J84" s="211" t="s">
        <v>8</v>
      </c>
      <c r="K84" s="210">
        <v>4800.277</v>
      </c>
      <c r="L84" s="211"/>
    </row>
    <row r="85" spans="1:12" ht="11.25" customHeight="1">
      <c r="A85" s="207" t="s">
        <v>345</v>
      </c>
      <c r="B85" s="214"/>
      <c r="C85" s="210">
        <v>541</v>
      </c>
      <c r="D85" s="211"/>
      <c r="E85" s="210">
        <v>566</v>
      </c>
      <c r="F85" s="211" t="s">
        <v>8</v>
      </c>
      <c r="G85" s="210">
        <v>583</v>
      </c>
      <c r="H85" s="211" t="s">
        <v>8</v>
      </c>
      <c r="I85" s="210">
        <v>627</v>
      </c>
      <c r="J85" s="212"/>
      <c r="K85" s="210">
        <v>638</v>
      </c>
      <c r="L85" s="212"/>
    </row>
    <row r="86" spans="1:12" ht="11.25" customHeight="1">
      <c r="A86" s="207" t="s">
        <v>240</v>
      </c>
      <c r="B86" s="214"/>
      <c r="C86" s="210">
        <v>9481</v>
      </c>
      <c r="D86" s="211"/>
      <c r="E86" s="210">
        <v>9500</v>
      </c>
      <c r="F86" s="211" t="s">
        <v>8</v>
      </c>
      <c r="G86" s="210">
        <v>9494</v>
      </c>
      <c r="H86" s="211" t="s">
        <v>8</v>
      </c>
      <c r="I86" s="210">
        <v>9718</v>
      </c>
      <c r="J86" s="211" t="s">
        <v>8</v>
      </c>
      <c r="K86" s="210">
        <v>9100</v>
      </c>
      <c r="L86" s="211"/>
    </row>
    <row r="87" spans="1:12" ht="11.25" customHeight="1">
      <c r="A87" s="207" t="s">
        <v>288</v>
      </c>
      <c r="B87" s="214"/>
      <c r="C87" s="210">
        <v>16287</v>
      </c>
      <c r="D87" s="211"/>
      <c r="E87" s="210">
        <v>17684</v>
      </c>
      <c r="F87" s="211"/>
      <c r="G87" s="210">
        <v>17711</v>
      </c>
      <c r="H87" s="211"/>
      <c r="I87" s="210">
        <v>18400</v>
      </c>
      <c r="J87" s="211" t="s">
        <v>9</v>
      </c>
      <c r="K87" s="210">
        <v>18400</v>
      </c>
      <c r="L87" s="211" t="s">
        <v>9</v>
      </c>
    </row>
    <row r="88" spans="1:12" ht="11.25" customHeight="1">
      <c r="A88" s="207" t="s">
        <v>445</v>
      </c>
      <c r="B88" s="214"/>
      <c r="C88" s="210">
        <v>30</v>
      </c>
      <c r="D88" s="212"/>
      <c r="E88" s="210">
        <v>30</v>
      </c>
      <c r="F88" s="212"/>
      <c r="G88" s="210">
        <v>30</v>
      </c>
      <c r="H88" s="212"/>
      <c r="I88" s="210">
        <v>30</v>
      </c>
      <c r="J88" s="212"/>
      <c r="K88" s="210">
        <v>30</v>
      </c>
      <c r="L88" s="212"/>
    </row>
    <row r="89" spans="1:12" ht="11.25" customHeight="1">
      <c r="A89" s="207" t="s">
        <v>39</v>
      </c>
      <c r="B89" s="214"/>
      <c r="C89" s="210">
        <v>5707</v>
      </c>
      <c r="D89" s="211"/>
      <c r="E89" s="210">
        <v>5949</v>
      </c>
      <c r="F89" s="211"/>
      <c r="G89" s="210">
        <v>5692</v>
      </c>
      <c r="H89" s="211" t="s">
        <v>8</v>
      </c>
      <c r="I89" s="210">
        <v>5435</v>
      </c>
      <c r="J89" s="211" t="s">
        <v>8</v>
      </c>
      <c r="K89" s="210">
        <v>5500</v>
      </c>
      <c r="L89" s="211" t="s">
        <v>9</v>
      </c>
    </row>
    <row r="90" spans="1:12" ht="11.25" customHeight="1">
      <c r="A90" s="207" t="s">
        <v>347</v>
      </c>
      <c r="B90" s="214"/>
      <c r="C90" s="210">
        <v>1000</v>
      </c>
      <c r="D90" s="211" t="s">
        <v>9</v>
      </c>
      <c r="E90" s="210">
        <v>1000</v>
      </c>
      <c r="F90" s="211" t="s">
        <v>9</v>
      </c>
      <c r="G90" s="210">
        <v>1158</v>
      </c>
      <c r="H90" s="211" t="s">
        <v>8</v>
      </c>
      <c r="I90" s="210">
        <v>1252</v>
      </c>
      <c r="J90" s="211" t="s">
        <v>8</v>
      </c>
      <c r="K90" s="210">
        <v>1264</v>
      </c>
      <c r="L90" s="212"/>
    </row>
    <row r="91" spans="1:12" ht="11.25" customHeight="1">
      <c r="A91" s="207" t="s">
        <v>446</v>
      </c>
      <c r="B91" s="214"/>
      <c r="C91" s="210">
        <v>70</v>
      </c>
      <c r="D91" s="212"/>
      <c r="E91" s="210">
        <v>70</v>
      </c>
      <c r="F91" s="212"/>
      <c r="G91" s="210">
        <v>70</v>
      </c>
      <c r="H91" s="212"/>
      <c r="I91" s="210">
        <v>70</v>
      </c>
      <c r="J91" s="212"/>
      <c r="K91" s="210">
        <v>70</v>
      </c>
      <c r="L91" s="212"/>
    </row>
    <row r="92" spans="1:12" ht="11.25" customHeight="1">
      <c r="A92" s="207" t="s">
        <v>349</v>
      </c>
      <c r="B92" s="214"/>
      <c r="C92" s="210">
        <v>18832.271000000001</v>
      </c>
      <c r="D92" s="211"/>
      <c r="E92" s="210">
        <v>19603.657999999999</v>
      </c>
      <c r="F92" s="211"/>
      <c r="G92" s="210">
        <v>18567</v>
      </c>
      <c r="H92" s="211"/>
      <c r="I92" s="210">
        <v>19203</v>
      </c>
      <c r="J92" s="211"/>
      <c r="K92" s="210">
        <v>20450</v>
      </c>
      <c r="L92" s="211"/>
    </row>
    <row r="93" spans="1:12" ht="11.25" customHeight="1">
      <c r="A93" s="207" t="s">
        <v>40</v>
      </c>
      <c r="B93" s="214"/>
      <c r="C93" s="210">
        <v>3572</v>
      </c>
      <c r="D93" s="211"/>
      <c r="E93" s="210">
        <v>4533</v>
      </c>
      <c r="F93" s="211"/>
      <c r="G93" s="210">
        <v>5161</v>
      </c>
      <c r="H93" s="211"/>
      <c r="I93" s="210">
        <v>5210</v>
      </c>
      <c r="J93" s="211" t="s">
        <v>8</v>
      </c>
      <c r="K93" s="210">
        <v>5470</v>
      </c>
      <c r="L93" s="211"/>
    </row>
    <row r="94" spans="1:12" ht="11.25" customHeight="1">
      <c r="A94" s="207" t="s">
        <v>350</v>
      </c>
      <c r="B94" s="214"/>
      <c r="C94" s="210">
        <v>923</v>
      </c>
      <c r="D94" s="211"/>
      <c r="E94" s="210">
        <v>815</v>
      </c>
      <c r="F94" s="211" t="s">
        <v>8</v>
      </c>
      <c r="G94" s="210">
        <v>711</v>
      </c>
      <c r="H94" s="211" t="s">
        <v>8</v>
      </c>
      <c r="I94" s="210">
        <v>674</v>
      </c>
      <c r="J94" s="211" t="s">
        <v>8</v>
      </c>
      <c r="K94" s="210">
        <v>670</v>
      </c>
      <c r="L94" s="211" t="s">
        <v>9</v>
      </c>
    </row>
    <row r="95" spans="1:12" ht="11.25" customHeight="1">
      <c r="A95" s="207" t="s">
        <v>42</v>
      </c>
      <c r="B95" s="214"/>
      <c r="C95" s="210">
        <v>86</v>
      </c>
      <c r="D95" s="211" t="s">
        <v>9</v>
      </c>
      <c r="E95" s="210">
        <v>70</v>
      </c>
      <c r="F95" s="211" t="s">
        <v>8</v>
      </c>
      <c r="G95" s="210">
        <v>66</v>
      </c>
      <c r="H95" s="211" t="s">
        <v>8</v>
      </c>
      <c r="I95" s="210">
        <v>68</v>
      </c>
      <c r="J95" s="211" t="s">
        <v>8</v>
      </c>
      <c r="K95" s="210">
        <v>61</v>
      </c>
      <c r="L95" s="211"/>
    </row>
    <row r="96" spans="1:12" ht="11.25" customHeight="1">
      <c r="A96" s="207" t="s">
        <v>45</v>
      </c>
      <c r="B96" s="214"/>
      <c r="C96" s="210">
        <v>18298</v>
      </c>
      <c r="D96" s="211"/>
      <c r="E96" s="210">
        <v>20478</v>
      </c>
      <c r="F96" s="211"/>
      <c r="G96" s="210">
        <v>20960</v>
      </c>
      <c r="H96" s="211"/>
      <c r="I96" s="210">
        <v>23308</v>
      </c>
      <c r="J96" s="211" t="s">
        <v>8</v>
      </c>
      <c r="K96" s="210">
        <v>25750</v>
      </c>
      <c r="L96" s="211"/>
    </row>
    <row r="97" spans="1:12" ht="11.25" customHeight="1">
      <c r="A97" s="207" t="s">
        <v>242</v>
      </c>
      <c r="B97" s="214"/>
      <c r="C97" s="210">
        <v>30</v>
      </c>
      <c r="D97" s="211" t="s">
        <v>8</v>
      </c>
      <c r="E97" s="210">
        <v>30</v>
      </c>
      <c r="F97" s="211" t="s">
        <v>8</v>
      </c>
      <c r="G97" s="210">
        <v>30</v>
      </c>
      <c r="H97" s="211" t="s">
        <v>8</v>
      </c>
      <c r="I97" s="210">
        <v>30</v>
      </c>
      <c r="J97" s="211" t="s">
        <v>8</v>
      </c>
      <c r="K97" s="210">
        <v>30</v>
      </c>
      <c r="L97" s="212"/>
    </row>
    <row r="98" spans="1:12" ht="11.25" customHeight="1">
      <c r="A98" s="207" t="s">
        <v>49</v>
      </c>
      <c r="B98" s="214"/>
      <c r="C98" s="210">
        <v>36900</v>
      </c>
      <c r="D98" s="211" t="s">
        <v>9</v>
      </c>
      <c r="E98" s="210">
        <v>38740</v>
      </c>
      <c r="F98" s="211"/>
      <c r="G98" s="210">
        <v>38636</v>
      </c>
      <c r="H98" s="211"/>
      <c r="I98" s="210">
        <v>40899</v>
      </c>
      <c r="J98" s="211"/>
      <c r="K98" s="210">
        <v>42830</v>
      </c>
      <c r="L98" s="211"/>
    </row>
    <row r="99" spans="1:12" ht="11.25" customHeight="1">
      <c r="A99" s="207" t="s">
        <v>447</v>
      </c>
      <c r="B99" s="214"/>
      <c r="C99" s="210">
        <v>50</v>
      </c>
      <c r="D99" s="211"/>
      <c r="E99" s="210">
        <v>70</v>
      </c>
      <c r="F99" s="211"/>
      <c r="G99" s="210">
        <v>70</v>
      </c>
      <c r="H99" s="211"/>
      <c r="I99" s="210">
        <v>70</v>
      </c>
      <c r="J99" s="211"/>
      <c r="K99" s="210">
        <v>90</v>
      </c>
      <c r="L99" s="211"/>
    </row>
    <row r="100" spans="1:12" ht="11.25" customHeight="1">
      <c r="A100" s="207" t="s">
        <v>50</v>
      </c>
      <c r="B100" s="214"/>
      <c r="C100" s="210">
        <v>13128</v>
      </c>
      <c r="D100" s="211"/>
      <c r="E100" s="210">
        <v>13766</v>
      </c>
      <c r="F100" s="211"/>
      <c r="G100" s="210">
        <v>13210</v>
      </c>
      <c r="H100" s="211"/>
      <c r="I100" s="210">
        <v>13931</v>
      </c>
      <c r="J100" s="211" t="s">
        <v>8</v>
      </c>
      <c r="K100" s="210">
        <v>14300</v>
      </c>
      <c r="L100" s="211"/>
    </row>
    <row r="101" spans="1:12" ht="11.25" customHeight="1">
      <c r="A101" s="207" t="s">
        <v>51</v>
      </c>
      <c r="B101" s="214"/>
      <c r="C101" s="210">
        <v>93700</v>
      </c>
      <c r="D101" s="211"/>
      <c r="E101" s="210">
        <v>99700</v>
      </c>
      <c r="F101" s="211"/>
      <c r="G101" s="210">
        <v>94900</v>
      </c>
      <c r="H101" s="211"/>
      <c r="I101" s="210">
        <v>98200</v>
      </c>
      <c r="J101" s="211"/>
      <c r="K101" s="210">
        <v>98100</v>
      </c>
      <c r="L101" s="211"/>
    </row>
    <row r="102" spans="1:12" ht="11.25" customHeight="1">
      <c r="A102" s="207" t="s">
        <v>352</v>
      </c>
      <c r="B102" s="214"/>
      <c r="C102" s="210">
        <v>41</v>
      </c>
      <c r="D102" s="211"/>
      <c r="E102" s="210">
        <v>58</v>
      </c>
      <c r="F102" s="211"/>
      <c r="G102" s="210">
        <v>64</v>
      </c>
      <c r="H102" s="211"/>
      <c r="I102" s="210">
        <v>57</v>
      </c>
      <c r="J102" s="211" t="s">
        <v>8</v>
      </c>
      <c r="K102" s="210">
        <v>71</v>
      </c>
      <c r="L102" s="211"/>
    </row>
    <row r="103" spans="1:12" ht="11.25" customHeight="1">
      <c r="A103" s="207" t="s">
        <v>448</v>
      </c>
      <c r="B103" s="214"/>
      <c r="C103" s="210">
        <v>472</v>
      </c>
      <c r="D103" s="211"/>
      <c r="E103" s="210">
        <v>602.16600000000005</v>
      </c>
      <c r="F103" s="211" t="s">
        <v>78</v>
      </c>
      <c r="G103" s="210">
        <v>607.25300000000004</v>
      </c>
      <c r="H103" s="211" t="s">
        <v>78</v>
      </c>
      <c r="I103" s="210">
        <v>730</v>
      </c>
      <c r="J103" s="211"/>
      <c r="K103" s="210">
        <v>740</v>
      </c>
      <c r="L103" s="211"/>
    </row>
    <row r="104" spans="1:12" ht="11.25" customHeight="1">
      <c r="A104" s="207" t="s">
        <v>52</v>
      </c>
      <c r="B104" s="214"/>
      <c r="C104" s="210">
        <v>3930.0990000000002</v>
      </c>
      <c r="D104" s="211"/>
      <c r="E104" s="210">
        <v>4575</v>
      </c>
      <c r="F104" s="211"/>
      <c r="G104" s="210">
        <v>4907</v>
      </c>
      <c r="H104" s="211"/>
      <c r="I104" s="210">
        <v>4900</v>
      </c>
      <c r="J104" s="211" t="s">
        <v>9</v>
      </c>
      <c r="K104" s="210">
        <v>4864</v>
      </c>
      <c r="L104" s="211"/>
    </row>
    <row r="105" spans="1:12" ht="11.25" customHeight="1">
      <c r="A105" s="207" t="s">
        <v>86</v>
      </c>
      <c r="B105" s="214"/>
      <c r="C105" s="210">
        <v>544</v>
      </c>
      <c r="D105" s="211"/>
      <c r="E105" s="210">
        <v>689</v>
      </c>
      <c r="F105" s="211"/>
      <c r="G105" s="210">
        <v>890</v>
      </c>
      <c r="H105" s="211"/>
      <c r="I105" s="210">
        <v>1400</v>
      </c>
      <c r="J105" s="211" t="s">
        <v>8</v>
      </c>
      <c r="K105" s="210">
        <v>2000</v>
      </c>
      <c r="L105" s="211" t="s">
        <v>9</v>
      </c>
    </row>
    <row r="106" spans="1:12" ht="11.25" customHeight="1">
      <c r="A106" s="207" t="s">
        <v>53</v>
      </c>
      <c r="B106" s="214"/>
      <c r="C106" s="215">
        <v>152</v>
      </c>
      <c r="D106" s="211"/>
      <c r="E106" s="215">
        <v>135</v>
      </c>
      <c r="F106" s="211" t="s">
        <v>8</v>
      </c>
      <c r="G106" s="215">
        <v>107</v>
      </c>
      <c r="H106" s="211" t="s">
        <v>8</v>
      </c>
      <c r="I106" s="215">
        <v>24</v>
      </c>
      <c r="J106" s="211" t="s">
        <v>8</v>
      </c>
      <c r="K106" s="215">
        <v>23</v>
      </c>
      <c r="L106" s="212"/>
    </row>
    <row r="107" spans="1:12" ht="11.25" customHeight="1">
      <c r="A107" s="207" t="s">
        <v>354</v>
      </c>
      <c r="B107" s="217"/>
      <c r="C107" s="218">
        <v>974000</v>
      </c>
      <c r="D107" s="219"/>
      <c r="E107" s="218">
        <v>1060000</v>
      </c>
      <c r="F107" s="219"/>
      <c r="G107" s="218">
        <v>1140000</v>
      </c>
      <c r="H107" s="219"/>
      <c r="I107" s="218">
        <v>1250000</v>
      </c>
      <c r="J107" s="219" t="s">
        <v>8</v>
      </c>
      <c r="K107" s="218">
        <v>1340000</v>
      </c>
      <c r="L107" s="209"/>
    </row>
    <row r="108" spans="1:12" ht="11.25" customHeight="1">
      <c r="A108" s="441" t="s">
        <v>203</v>
      </c>
      <c r="B108" s="441"/>
      <c r="C108" s="441"/>
      <c r="D108" s="441"/>
      <c r="E108" s="441"/>
      <c r="F108" s="441"/>
      <c r="G108" s="441"/>
      <c r="H108" s="441"/>
      <c r="I108" s="441"/>
      <c r="J108" s="441"/>
      <c r="K108" s="441"/>
      <c r="L108" s="441"/>
    </row>
    <row r="109" spans="1:12" ht="11.25" customHeight="1">
      <c r="A109" s="204"/>
      <c r="B109" s="214"/>
      <c r="C109" s="215"/>
      <c r="D109" s="211"/>
      <c r="E109" s="215"/>
      <c r="F109" s="211"/>
      <c r="G109" s="215"/>
      <c r="H109" s="211"/>
      <c r="I109" s="215"/>
      <c r="J109" s="211"/>
      <c r="K109" s="215"/>
      <c r="L109" s="212"/>
    </row>
    <row r="110" spans="1:12" ht="11.25" customHeight="1">
      <c r="A110" s="204"/>
      <c r="B110" s="214"/>
      <c r="C110" s="215"/>
      <c r="D110" s="211"/>
      <c r="E110" s="215"/>
      <c r="F110" s="211"/>
      <c r="G110" s="215"/>
      <c r="H110" s="211"/>
      <c r="I110" s="215"/>
      <c r="J110" s="211"/>
      <c r="K110" s="215"/>
      <c r="L110" s="212"/>
    </row>
    <row r="111" spans="1:12" ht="11.25" customHeight="1">
      <c r="A111" s="204"/>
      <c r="B111" s="214"/>
      <c r="C111" s="215"/>
      <c r="D111" s="211"/>
      <c r="E111" s="215"/>
      <c r="F111" s="211"/>
      <c r="G111" s="215"/>
      <c r="H111" s="211"/>
      <c r="I111" s="215"/>
      <c r="J111" s="211"/>
      <c r="K111" s="215"/>
      <c r="L111" s="212"/>
    </row>
    <row r="112" spans="1:12" ht="11.25" customHeight="1">
      <c r="A112" s="204"/>
      <c r="B112" s="214"/>
      <c r="C112" s="215"/>
      <c r="D112" s="211"/>
      <c r="E112" s="215"/>
      <c r="F112" s="211"/>
      <c r="G112" s="215"/>
      <c r="H112" s="211"/>
      <c r="I112" s="215"/>
      <c r="J112" s="211"/>
      <c r="K112" s="215"/>
      <c r="L112" s="212"/>
    </row>
    <row r="113" spans="1:12" ht="11.25" customHeight="1">
      <c r="A113" s="204"/>
      <c r="B113" s="214"/>
      <c r="C113" s="215"/>
      <c r="D113" s="211"/>
      <c r="E113" s="215"/>
      <c r="F113" s="211"/>
      <c r="G113" s="215"/>
      <c r="H113" s="211"/>
      <c r="I113" s="215"/>
      <c r="J113" s="211"/>
      <c r="K113" s="215"/>
      <c r="L113" s="212"/>
    </row>
    <row r="114" spans="1:12" ht="11.25" customHeight="1">
      <c r="A114" s="204"/>
      <c r="B114" s="214"/>
      <c r="C114" s="215"/>
      <c r="D114" s="211"/>
      <c r="E114" s="215"/>
      <c r="F114" s="211"/>
      <c r="G114" s="215"/>
      <c r="H114" s="211"/>
      <c r="I114" s="215"/>
      <c r="J114" s="211"/>
      <c r="K114" s="215"/>
      <c r="L114" s="212"/>
    </row>
    <row r="115" spans="1:12" ht="11.25" customHeight="1">
      <c r="A115" s="443" t="s">
        <v>437</v>
      </c>
      <c r="B115" s="443"/>
      <c r="C115" s="443"/>
      <c r="D115" s="443"/>
      <c r="E115" s="443"/>
      <c r="F115" s="443"/>
      <c r="G115" s="443"/>
      <c r="H115" s="443"/>
      <c r="I115" s="443"/>
      <c r="J115" s="443"/>
      <c r="K115" s="443"/>
      <c r="L115" s="443"/>
    </row>
    <row r="116" spans="1:12" ht="11.25" customHeight="1">
      <c r="A116" s="443" t="s">
        <v>421</v>
      </c>
      <c r="B116" s="443"/>
      <c r="C116" s="443"/>
      <c r="D116" s="443"/>
      <c r="E116" s="443"/>
      <c r="F116" s="443"/>
      <c r="G116" s="443"/>
      <c r="H116" s="443"/>
      <c r="I116" s="443"/>
      <c r="J116" s="443"/>
      <c r="K116" s="443"/>
      <c r="L116" s="443"/>
    </row>
    <row r="117" spans="1:12" ht="11.25" customHeight="1">
      <c r="A117" s="443"/>
      <c r="B117" s="443"/>
      <c r="C117" s="443"/>
      <c r="D117" s="443"/>
      <c r="E117" s="443"/>
      <c r="F117" s="443"/>
      <c r="G117" s="443"/>
      <c r="H117" s="443"/>
      <c r="I117" s="443"/>
      <c r="J117" s="443"/>
      <c r="K117" s="443"/>
      <c r="L117" s="443"/>
    </row>
    <row r="118" spans="1:12" ht="11.25" customHeight="1">
      <c r="A118" s="443" t="s">
        <v>0</v>
      </c>
      <c r="B118" s="443"/>
      <c r="C118" s="443"/>
      <c r="D118" s="443"/>
      <c r="E118" s="443"/>
      <c r="F118" s="443"/>
      <c r="G118" s="443"/>
      <c r="H118" s="443"/>
      <c r="I118" s="443"/>
      <c r="J118" s="443"/>
      <c r="K118" s="443"/>
      <c r="L118" s="443"/>
    </row>
    <row r="119" spans="1:12" ht="11.25" customHeight="1">
      <c r="A119" s="444"/>
      <c r="B119" s="444"/>
      <c r="C119" s="444"/>
      <c r="D119" s="444"/>
      <c r="E119" s="444"/>
      <c r="F119" s="444"/>
      <c r="G119" s="444"/>
      <c r="H119" s="444"/>
      <c r="I119" s="444"/>
      <c r="J119" s="444"/>
      <c r="K119" s="444"/>
      <c r="L119" s="444"/>
    </row>
    <row r="120" spans="1:12" ht="11.25" customHeight="1">
      <c r="A120" s="446" t="s">
        <v>449</v>
      </c>
      <c r="B120" s="446"/>
      <c r="C120" s="446"/>
      <c r="D120" s="446"/>
      <c r="E120" s="446"/>
      <c r="F120" s="446"/>
      <c r="G120" s="446"/>
      <c r="H120" s="446"/>
      <c r="I120" s="446"/>
      <c r="J120" s="446"/>
      <c r="K120" s="446"/>
      <c r="L120" s="446"/>
    </row>
    <row r="121" spans="1:12" ht="11.25" customHeight="1">
      <c r="A121" s="446" t="s">
        <v>450</v>
      </c>
      <c r="B121" s="446"/>
      <c r="C121" s="446"/>
      <c r="D121" s="446"/>
      <c r="E121" s="446"/>
      <c r="F121" s="446"/>
      <c r="G121" s="446"/>
      <c r="H121" s="446"/>
      <c r="I121" s="446"/>
      <c r="J121" s="446"/>
      <c r="K121" s="446"/>
      <c r="L121" s="446"/>
    </row>
    <row r="122" spans="1:12" ht="11.25" customHeight="1">
      <c r="A122" s="446" t="s">
        <v>451</v>
      </c>
      <c r="B122" s="446"/>
      <c r="C122" s="446"/>
      <c r="D122" s="446"/>
      <c r="E122" s="446"/>
      <c r="F122" s="446"/>
      <c r="G122" s="446"/>
      <c r="H122" s="446"/>
      <c r="I122" s="446"/>
      <c r="J122" s="446"/>
      <c r="K122" s="446"/>
      <c r="L122" s="446"/>
    </row>
    <row r="123" spans="1:12" ht="11.25" customHeight="1">
      <c r="A123" s="445" t="s">
        <v>452</v>
      </c>
      <c r="B123" s="445"/>
      <c r="C123" s="445"/>
      <c r="D123" s="445"/>
      <c r="E123" s="445"/>
      <c r="F123" s="445"/>
      <c r="G123" s="445"/>
      <c r="H123" s="445"/>
      <c r="I123" s="445"/>
      <c r="J123" s="445"/>
      <c r="K123" s="445"/>
      <c r="L123" s="445"/>
    </row>
    <row r="124" spans="1:12" ht="11.25" customHeight="1">
      <c r="A124" s="446" t="s">
        <v>453</v>
      </c>
      <c r="B124" s="446"/>
      <c r="C124" s="446"/>
      <c r="D124" s="446"/>
      <c r="E124" s="446"/>
      <c r="F124" s="446"/>
      <c r="G124" s="446"/>
      <c r="H124" s="446"/>
      <c r="I124" s="446"/>
      <c r="J124" s="446"/>
      <c r="K124" s="446"/>
      <c r="L124" s="446"/>
    </row>
    <row r="125" spans="1:12" ht="11.25" customHeight="1">
      <c r="A125" s="446" t="s">
        <v>454</v>
      </c>
      <c r="B125" s="446"/>
      <c r="C125" s="446"/>
      <c r="D125" s="446"/>
      <c r="E125" s="446"/>
      <c r="F125" s="446"/>
      <c r="G125" s="446"/>
      <c r="H125" s="446"/>
      <c r="I125" s="446"/>
      <c r="J125" s="446"/>
      <c r="K125" s="446"/>
      <c r="L125" s="446"/>
    </row>
    <row r="126" spans="1:12" ht="11.25" customHeight="1">
      <c r="A126" s="445" t="s">
        <v>455</v>
      </c>
      <c r="B126" s="445"/>
      <c r="C126" s="445"/>
      <c r="D126" s="445"/>
      <c r="E126" s="445"/>
      <c r="F126" s="445"/>
      <c r="G126" s="445"/>
      <c r="H126" s="445"/>
      <c r="I126" s="445"/>
      <c r="J126" s="445"/>
      <c r="K126" s="445"/>
      <c r="L126" s="445"/>
    </row>
    <row r="127" spans="1:12" ht="11.25" customHeight="1">
      <c r="A127" s="446" t="s">
        <v>456</v>
      </c>
      <c r="B127" s="446"/>
      <c r="C127" s="446"/>
      <c r="D127" s="446"/>
      <c r="E127" s="446"/>
      <c r="F127" s="446"/>
      <c r="G127" s="446"/>
      <c r="H127" s="446"/>
      <c r="I127" s="446"/>
      <c r="J127" s="446"/>
      <c r="K127" s="446"/>
      <c r="L127" s="446"/>
    </row>
    <row r="128" spans="1:12" ht="11.25" customHeight="1">
      <c r="A128" s="446" t="s">
        <v>91</v>
      </c>
      <c r="B128" s="446"/>
      <c r="C128" s="446"/>
      <c r="D128" s="446"/>
      <c r="E128" s="446"/>
      <c r="F128" s="446"/>
      <c r="G128" s="446"/>
      <c r="H128" s="446"/>
      <c r="I128" s="446"/>
      <c r="J128" s="446"/>
      <c r="K128" s="446"/>
      <c r="L128" s="446"/>
    </row>
    <row r="129" spans="1:12" ht="11.25" customHeight="1">
      <c r="A129" s="446" t="s">
        <v>457</v>
      </c>
      <c r="B129" s="446"/>
      <c r="C129" s="446"/>
      <c r="D129" s="446"/>
      <c r="E129" s="446"/>
      <c r="F129" s="446"/>
      <c r="G129" s="446"/>
      <c r="H129" s="446"/>
      <c r="I129" s="446"/>
      <c r="J129" s="446"/>
      <c r="K129" s="446"/>
      <c r="L129" s="446"/>
    </row>
    <row r="130" spans="1:12" ht="11.25" customHeight="1">
      <c r="A130" s="446" t="s">
        <v>458</v>
      </c>
      <c r="B130" s="446"/>
      <c r="C130" s="446"/>
      <c r="D130" s="446"/>
      <c r="E130" s="446"/>
      <c r="F130" s="446"/>
      <c r="G130" s="446"/>
      <c r="H130" s="446"/>
      <c r="I130" s="446"/>
      <c r="J130" s="446"/>
      <c r="K130" s="446"/>
      <c r="L130" s="446"/>
    </row>
    <row r="131" spans="1:12" ht="11.25" customHeight="1">
      <c r="A131" s="446" t="s">
        <v>459</v>
      </c>
      <c r="B131" s="446"/>
      <c r="C131" s="446"/>
      <c r="D131" s="446"/>
      <c r="E131" s="446"/>
      <c r="F131" s="446"/>
      <c r="G131" s="446"/>
      <c r="H131" s="446"/>
      <c r="I131" s="446"/>
      <c r="J131" s="446"/>
      <c r="K131" s="446"/>
      <c r="L131" s="446"/>
    </row>
    <row r="132" spans="1:12" ht="11.25" customHeight="1">
      <c r="A132" s="445" t="s">
        <v>460</v>
      </c>
      <c r="B132" s="446"/>
      <c r="C132" s="446"/>
      <c r="D132" s="446"/>
      <c r="E132" s="446"/>
      <c r="F132" s="446"/>
      <c r="G132" s="446"/>
      <c r="H132" s="446"/>
      <c r="I132" s="446"/>
      <c r="J132" s="446"/>
      <c r="K132" s="446"/>
      <c r="L132" s="446"/>
    </row>
    <row r="133" spans="1:12" ht="11.25" customHeight="1">
      <c r="A133" s="445" t="s">
        <v>461</v>
      </c>
      <c r="B133" s="446"/>
      <c r="C133" s="446"/>
      <c r="D133" s="446"/>
      <c r="E133" s="446"/>
      <c r="F133" s="446"/>
      <c r="G133" s="446"/>
      <c r="H133" s="446"/>
      <c r="I133" s="446"/>
      <c r="J133" s="446"/>
      <c r="K133" s="446"/>
      <c r="L133" s="446"/>
    </row>
    <row r="134" spans="1:12" ht="11.25" customHeight="1">
      <c r="A134" s="446" t="s">
        <v>462</v>
      </c>
      <c r="B134" s="446"/>
      <c r="C134" s="446"/>
      <c r="D134" s="446"/>
      <c r="E134" s="446"/>
      <c r="F134" s="446"/>
      <c r="G134" s="446"/>
      <c r="H134" s="446"/>
      <c r="I134" s="446"/>
      <c r="J134" s="446"/>
      <c r="K134" s="446"/>
      <c r="L134" s="446"/>
    </row>
  </sheetData>
  <mergeCells count="32">
    <mergeCell ref="A133:L133"/>
    <mergeCell ref="A134:L134"/>
    <mergeCell ref="A127:L127"/>
    <mergeCell ref="A128:L128"/>
    <mergeCell ref="A129:L129"/>
    <mergeCell ref="A130:L130"/>
    <mergeCell ref="A131:L131"/>
    <mergeCell ref="A132:L132"/>
    <mergeCell ref="A126:L126"/>
    <mergeCell ref="A115:L115"/>
    <mergeCell ref="A116:L116"/>
    <mergeCell ref="A117:L117"/>
    <mergeCell ref="A118:L118"/>
    <mergeCell ref="A119:L119"/>
    <mergeCell ref="A120:L120"/>
    <mergeCell ref="A121:L121"/>
    <mergeCell ref="A122:L122"/>
    <mergeCell ref="A123:L123"/>
    <mergeCell ref="A124:L124"/>
    <mergeCell ref="A125:L125"/>
    <mergeCell ref="A108:L108"/>
    <mergeCell ref="A1:L1"/>
    <mergeCell ref="A2:L2"/>
    <mergeCell ref="A3:L3"/>
    <mergeCell ref="A4:L4"/>
    <mergeCell ref="A5:L5"/>
    <mergeCell ref="A55:L55"/>
    <mergeCell ref="A57:L57"/>
    <mergeCell ref="A58:L58"/>
    <mergeCell ref="A59:L59"/>
    <mergeCell ref="A60:L60"/>
    <mergeCell ref="A61:L61"/>
  </mergeCells>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84CF-0266-8D4A-A405-797D8D7168CC}">
  <dimension ref="A1:L114"/>
  <sheetViews>
    <sheetView topLeftCell="A46" workbookViewId="0">
      <selection activeCell="A70" sqref="A70:K103"/>
    </sheetView>
  </sheetViews>
  <sheetFormatPr baseColWidth="10" defaultRowHeight="11"/>
  <cols>
    <col min="1" max="1" width="30" style="165" customWidth="1"/>
    <col min="2" max="2" width="1.1640625" style="165" customWidth="1"/>
    <col min="3" max="3" width="6" style="165" customWidth="1"/>
    <col min="4" max="4" width="1.6640625" style="165" customWidth="1"/>
    <col min="5" max="5" width="6" style="165" customWidth="1"/>
    <col min="6" max="6" width="1.6640625" style="165" customWidth="1"/>
    <col min="7" max="7" width="6" style="165" customWidth="1"/>
    <col min="8" max="8" width="1.6640625" style="165" customWidth="1"/>
    <col min="9" max="9" width="6" style="165" customWidth="1"/>
    <col min="10" max="10" width="1.6640625" style="165" customWidth="1"/>
    <col min="11" max="11" width="6" style="165" customWidth="1"/>
    <col min="12" max="12" width="1.33203125" style="165" customWidth="1"/>
    <col min="13" max="256" width="5.83203125" style="165" customWidth="1"/>
    <col min="257" max="257" width="30" style="165" customWidth="1"/>
    <col min="258" max="258" width="1.1640625" style="165" customWidth="1"/>
    <col min="259" max="259" width="6" style="165" customWidth="1"/>
    <col min="260" max="260" width="1.6640625" style="165" customWidth="1"/>
    <col min="261" max="261" width="6" style="165" customWidth="1"/>
    <col min="262" max="262" width="1.6640625" style="165" customWidth="1"/>
    <col min="263" max="263" width="6" style="165" customWidth="1"/>
    <col min="264" max="264" width="1.6640625" style="165" customWidth="1"/>
    <col min="265" max="265" width="6" style="165" customWidth="1"/>
    <col min="266" max="266" width="1.6640625" style="165" customWidth="1"/>
    <col min="267" max="267" width="6" style="165" customWidth="1"/>
    <col min="268" max="268" width="1.33203125" style="165" customWidth="1"/>
    <col min="269" max="512" width="5.83203125" style="165" customWidth="1"/>
    <col min="513" max="513" width="30" style="165" customWidth="1"/>
    <col min="514" max="514" width="1.1640625" style="165" customWidth="1"/>
    <col min="515" max="515" width="6" style="165" customWidth="1"/>
    <col min="516" max="516" width="1.6640625" style="165" customWidth="1"/>
    <col min="517" max="517" width="6" style="165" customWidth="1"/>
    <col min="518" max="518" width="1.6640625" style="165" customWidth="1"/>
    <col min="519" max="519" width="6" style="165" customWidth="1"/>
    <col min="520" max="520" width="1.6640625" style="165" customWidth="1"/>
    <col min="521" max="521" width="6" style="165" customWidth="1"/>
    <col min="522" max="522" width="1.6640625" style="165" customWidth="1"/>
    <col min="523" max="523" width="6" style="165" customWidth="1"/>
    <col min="524" max="524" width="1.33203125" style="165" customWidth="1"/>
    <col min="525" max="768" width="5.83203125" style="165" customWidth="1"/>
    <col min="769" max="769" width="30" style="165" customWidth="1"/>
    <col min="770" max="770" width="1.1640625" style="165" customWidth="1"/>
    <col min="771" max="771" width="6" style="165" customWidth="1"/>
    <col min="772" max="772" width="1.6640625" style="165" customWidth="1"/>
    <col min="773" max="773" width="6" style="165" customWidth="1"/>
    <col min="774" max="774" width="1.6640625" style="165" customWidth="1"/>
    <col min="775" max="775" width="6" style="165" customWidth="1"/>
    <col min="776" max="776" width="1.6640625" style="165" customWidth="1"/>
    <col min="777" max="777" width="6" style="165" customWidth="1"/>
    <col min="778" max="778" width="1.6640625" style="165" customWidth="1"/>
    <col min="779" max="779" width="6" style="165" customWidth="1"/>
    <col min="780" max="780" width="1.33203125" style="165" customWidth="1"/>
    <col min="781" max="1024" width="5.83203125" style="165" customWidth="1"/>
    <col min="1025" max="1025" width="30" style="165" customWidth="1"/>
    <col min="1026" max="1026" width="1.1640625" style="165" customWidth="1"/>
    <col min="1027" max="1027" width="6" style="165" customWidth="1"/>
    <col min="1028" max="1028" width="1.6640625" style="165" customWidth="1"/>
    <col min="1029" max="1029" width="6" style="165" customWidth="1"/>
    <col min="1030" max="1030" width="1.6640625" style="165" customWidth="1"/>
    <col min="1031" max="1031" width="6" style="165" customWidth="1"/>
    <col min="1032" max="1032" width="1.6640625" style="165" customWidth="1"/>
    <col min="1033" max="1033" width="6" style="165" customWidth="1"/>
    <col min="1034" max="1034" width="1.6640625" style="165" customWidth="1"/>
    <col min="1035" max="1035" width="6" style="165" customWidth="1"/>
    <col min="1036" max="1036" width="1.33203125" style="165" customWidth="1"/>
    <col min="1037" max="1280" width="5.83203125" style="165" customWidth="1"/>
    <col min="1281" max="1281" width="30" style="165" customWidth="1"/>
    <col min="1282" max="1282" width="1.1640625" style="165" customWidth="1"/>
    <col min="1283" max="1283" width="6" style="165" customWidth="1"/>
    <col min="1284" max="1284" width="1.6640625" style="165" customWidth="1"/>
    <col min="1285" max="1285" width="6" style="165" customWidth="1"/>
    <col min="1286" max="1286" width="1.6640625" style="165" customWidth="1"/>
    <col min="1287" max="1287" width="6" style="165" customWidth="1"/>
    <col min="1288" max="1288" width="1.6640625" style="165" customWidth="1"/>
    <col min="1289" max="1289" width="6" style="165" customWidth="1"/>
    <col min="1290" max="1290" width="1.6640625" style="165" customWidth="1"/>
    <col min="1291" max="1291" width="6" style="165" customWidth="1"/>
    <col min="1292" max="1292" width="1.33203125" style="165" customWidth="1"/>
    <col min="1293" max="1536" width="5.83203125" style="165" customWidth="1"/>
    <col min="1537" max="1537" width="30" style="165" customWidth="1"/>
    <col min="1538" max="1538" width="1.1640625" style="165" customWidth="1"/>
    <col min="1539" max="1539" width="6" style="165" customWidth="1"/>
    <col min="1540" max="1540" width="1.6640625" style="165" customWidth="1"/>
    <col min="1541" max="1541" width="6" style="165" customWidth="1"/>
    <col min="1542" max="1542" width="1.6640625" style="165" customWidth="1"/>
    <col min="1543" max="1543" width="6" style="165" customWidth="1"/>
    <col min="1544" max="1544" width="1.6640625" style="165" customWidth="1"/>
    <col min="1545" max="1545" width="6" style="165" customWidth="1"/>
    <col min="1546" max="1546" width="1.6640625" style="165" customWidth="1"/>
    <col min="1547" max="1547" width="6" style="165" customWidth="1"/>
    <col min="1548" max="1548" width="1.33203125" style="165" customWidth="1"/>
    <col min="1549" max="1792" width="5.83203125" style="165" customWidth="1"/>
    <col min="1793" max="1793" width="30" style="165" customWidth="1"/>
    <col min="1794" max="1794" width="1.1640625" style="165" customWidth="1"/>
    <col min="1795" max="1795" width="6" style="165" customWidth="1"/>
    <col min="1796" max="1796" width="1.6640625" style="165" customWidth="1"/>
    <col min="1797" max="1797" width="6" style="165" customWidth="1"/>
    <col min="1798" max="1798" width="1.6640625" style="165" customWidth="1"/>
    <col min="1799" max="1799" width="6" style="165" customWidth="1"/>
    <col min="1800" max="1800" width="1.6640625" style="165" customWidth="1"/>
    <col min="1801" max="1801" width="6" style="165" customWidth="1"/>
    <col min="1802" max="1802" width="1.6640625" style="165" customWidth="1"/>
    <col min="1803" max="1803" width="6" style="165" customWidth="1"/>
    <col min="1804" max="1804" width="1.33203125" style="165" customWidth="1"/>
    <col min="1805" max="2048" width="5.83203125" style="165" customWidth="1"/>
    <col min="2049" max="2049" width="30" style="165" customWidth="1"/>
    <col min="2050" max="2050" width="1.1640625" style="165" customWidth="1"/>
    <col min="2051" max="2051" width="6" style="165" customWidth="1"/>
    <col min="2052" max="2052" width="1.6640625" style="165" customWidth="1"/>
    <col min="2053" max="2053" width="6" style="165" customWidth="1"/>
    <col min="2054" max="2054" width="1.6640625" style="165" customWidth="1"/>
    <col min="2055" max="2055" width="6" style="165" customWidth="1"/>
    <col min="2056" max="2056" width="1.6640625" style="165" customWidth="1"/>
    <col min="2057" max="2057" width="6" style="165" customWidth="1"/>
    <col min="2058" max="2058" width="1.6640625" style="165" customWidth="1"/>
    <col min="2059" max="2059" width="6" style="165" customWidth="1"/>
    <col min="2060" max="2060" width="1.33203125" style="165" customWidth="1"/>
    <col min="2061" max="2304" width="5.83203125" style="165" customWidth="1"/>
    <col min="2305" max="2305" width="30" style="165" customWidth="1"/>
    <col min="2306" max="2306" width="1.1640625" style="165" customWidth="1"/>
    <col min="2307" max="2307" width="6" style="165" customWidth="1"/>
    <col min="2308" max="2308" width="1.6640625" style="165" customWidth="1"/>
    <col min="2309" max="2309" width="6" style="165" customWidth="1"/>
    <col min="2310" max="2310" width="1.6640625" style="165" customWidth="1"/>
    <col min="2311" max="2311" width="6" style="165" customWidth="1"/>
    <col min="2312" max="2312" width="1.6640625" style="165" customWidth="1"/>
    <col min="2313" max="2313" width="6" style="165" customWidth="1"/>
    <col min="2314" max="2314" width="1.6640625" style="165" customWidth="1"/>
    <col min="2315" max="2315" width="6" style="165" customWidth="1"/>
    <col min="2316" max="2316" width="1.33203125" style="165" customWidth="1"/>
    <col min="2317" max="2560" width="5.83203125" style="165" customWidth="1"/>
    <col min="2561" max="2561" width="30" style="165" customWidth="1"/>
    <col min="2562" max="2562" width="1.1640625" style="165" customWidth="1"/>
    <col min="2563" max="2563" width="6" style="165" customWidth="1"/>
    <col min="2564" max="2564" width="1.6640625" style="165" customWidth="1"/>
    <col min="2565" max="2565" width="6" style="165" customWidth="1"/>
    <col min="2566" max="2566" width="1.6640625" style="165" customWidth="1"/>
    <col min="2567" max="2567" width="6" style="165" customWidth="1"/>
    <col min="2568" max="2568" width="1.6640625" style="165" customWidth="1"/>
    <col min="2569" max="2569" width="6" style="165" customWidth="1"/>
    <col min="2570" max="2570" width="1.6640625" style="165" customWidth="1"/>
    <col min="2571" max="2571" width="6" style="165" customWidth="1"/>
    <col min="2572" max="2572" width="1.33203125" style="165" customWidth="1"/>
    <col min="2573" max="2816" width="5.83203125" style="165" customWidth="1"/>
    <col min="2817" max="2817" width="30" style="165" customWidth="1"/>
    <col min="2818" max="2818" width="1.1640625" style="165" customWidth="1"/>
    <col min="2819" max="2819" width="6" style="165" customWidth="1"/>
    <col min="2820" max="2820" width="1.6640625" style="165" customWidth="1"/>
    <col min="2821" max="2821" width="6" style="165" customWidth="1"/>
    <col min="2822" max="2822" width="1.6640625" style="165" customWidth="1"/>
    <col min="2823" max="2823" width="6" style="165" customWidth="1"/>
    <col min="2824" max="2824" width="1.6640625" style="165" customWidth="1"/>
    <col min="2825" max="2825" width="6" style="165" customWidth="1"/>
    <col min="2826" max="2826" width="1.6640625" style="165" customWidth="1"/>
    <col min="2827" max="2827" width="6" style="165" customWidth="1"/>
    <col min="2828" max="2828" width="1.33203125" style="165" customWidth="1"/>
    <col min="2829" max="3072" width="5.83203125" style="165" customWidth="1"/>
    <col min="3073" max="3073" width="30" style="165" customWidth="1"/>
    <col min="3074" max="3074" width="1.1640625" style="165" customWidth="1"/>
    <col min="3075" max="3075" width="6" style="165" customWidth="1"/>
    <col min="3076" max="3076" width="1.6640625" style="165" customWidth="1"/>
    <col min="3077" max="3077" width="6" style="165" customWidth="1"/>
    <col min="3078" max="3078" width="1.6640625" style="165" customWidth="1"/>
    <col min="3079" max="3079" width="6" style="165" customWidth="1"/>
    <col min="3080" max="3080" width="1.6640625" style="165" customWidth="1"/>
    <col min="3081" max="3081" width="6" style="165" customWidth="1"/>
    <col min="3082" max="3082" width="1.6640625" style="165" customWidth="1"/>
    <col min="3083" max="3083" width="6" style="165" customWidth="1"/>
    <col min="3084" max="3084" width="1.33203125" style="165" customWidth="1"/>
    <col min="3085" max="3328" width="5.83203125" style="165" customWidth="1"/>
    <col min="3329" max="3329" width="30" style="165" customWidth="1"/>
    <col min="3330" max="3330" width="1.1640625" style="165" customWidth="1"/>
    <col min="3331" max="3331" width="6" style="165" customWidth="1"/>
    <col min="3332" max="3332" width="1.6640625" style="165" customWidth="1"/>
    <col min="3333" max="3333" width="6" style="165" customWidth="1"/>
    <col min="3334" max="3334" width="1.6640625" style="165" customWidth="1"/>
    <col min="3335" max="3335" width="6" style="165" customWidth="1"/>
    <col min="3336" max="3336" width="1.6640625" style="165" customWidth="1"/>
    <col min="3337" max="3337" width="6" style="165" customWidth="1"/>
    <col min="3338" max="3338" width="1.6640625" style="165" customWidth="1"/>
    <col min="3339" max="3339" width="6" style="165" customWidth="1"/>
    <col min="3340" max="3340" width="1.33203125" style="165" customWidth="1"/>
    <col min="3341" max="3584" width="5.83203125" style="165" customWidth="1"/>
    <col min="3585" max="3585" width="30" style="165" customWidth="1"/>
    <col min="3586" max="3586" width="1.1640625" style="165" customWidth="1"/>
    <col min="3587" max="3587" width="6" style="165" customWidth="1"/>
    <col min="3588" max="3588" width="1.6640625" style="165" customWidth="1"/>
    <col min="3589" max="3589" width="6" style="165" customWidth="1"/>
    <col min="3590" max="3590" width="1.6640625" style="165" customWidth="1"/>
    <col min="3591" max="3591" width="6" style="165" customWidth="1"/>
    <col min="3592" max="3592" width="1.6640625" style="165" customWidth="1"/>
    <col min="3593" max="3593" width="6" style="165" customWidth="1"/>
    <col min="3594" max="3594" width="1.6640625" style="165" customWidth="1"/>
    <col min="3595" max="3595" width="6" style="165" customWidth="1"/>
    <col min="3596" max="3596" width="1.33203125" style="165" customWidth="1"/>
    <col min="3597" max="3840" width="5.83203125" style="165" customWidth="1"/>
    <col min="3841" max="3841" width="30" style="165" customWidth="1"/>
    <col min="3842" max="3842" width="1.1640625" style="165" customWidth="1"/>
    <col min="3843" max="3843" width="6" style="165" customWidth="1"/>
    <col min="3844" max="3844" width="1.6640625" style="165" customWidth="1"/>
    <col min="3845" max="3845" width="6" style="165" customWidth="1"/>
    <col min="3846" max="3846" width="1.6640625" style="165" customWidth="1"/>
    <col min="3847" max="3847" width="6" style="165" customWidth="1"/>
    <col min="3848" max="3848" width="1.6640625" style="165" customWidth="1"/>
    <col min="3849" max="3849" width="6" style="165" customWidth="1"/>
    <col min="3850" max="3850" width="1.6640625" style="165" customWidth="1"/>
    <col min="3851" max="3851" width="6" style="165" customWidth="1"/>
    <col min="3852" max="3852" width="1.33203125" style="165" customWidth="1"/>
    <col min="3853" max="4096" width="5.83203125" style="165" customWidth="1"/>
    <col min="4097" max="4097" width="30" style="165" customWidth="1"/>
    <col min="4098" max="4098" width="1.1640625" style="165" customWidth="1"/>
    <col min="4099" max="4099" width="6" style="165" customWidth="1"/>
    <col min="4100" max="4100" width="1.6640625" style="165" customWidth="1"/>
    <col min="4101" max="4101" width="6" style="165" customWidth="1"/>
    <col min="4102" max="4102" width="1.6640625" style="165" customWidth="1"/>
    <col min="4103" max="4103" width="6" style="165" customWidth="1"/>
    <col min="4104" max="4104" width="1.6640625" style="165" customWidth="1"/>
    <col min="4105" max="4105" width="6" style="165" customWidth="1"/>
    <col min="4106" max="4106" width="1.6640625" style="165" customWidth="1"/>
    <col min="4107" max="4107" width="6" style="165" customWidth="1"/>
    <col min="4108" max="4108" width="1.33203125" style="165" customWidth="1"/>
    <col min="4109" max="4352" width="5.83203125" style="165" customWidth="1"/>
    <col min="4353" max="4353" width="30" style="165" customWidth="1"/>
    <col min="4354" max="4354" width="1.1640625" style="165" customWidth="1"/>
    <col min="4355" max="4355" width="6" style="165" customWidth="1"/>
    <col min="4356" max="4356" width="1.6640625" style="165" customWidth="1"/>
    <col min="4357" max="4357" width="6" style="165" customWidth="1"/>
    <col min="4358" max="4358" width="1.6640625" style="165" customWidth="1"/>
    <col min="4359" max="4359" width="6" style="165" customWidth="1"/>
    <col min="4360" max="4360" width="1.6640625" style="165" customWidth="1"/>
    <col min="4361" max="4361" width="6" style="165" customWidth="1"/>
    <col min="4362" max="4362" width="1.6640625" style="165" customWidth="1"/>
    <col min="4363" max="4363" width="6" style="165" customWidth="1"/>
    <col min="4364" max="4364" width="1.33203125" style="165" customWidth="1"/>
    <col min="4365" max="4608" width="5.83203125" style="165" customWidth="1"/>
    <col min="4609" max="4609" width="30" style="165" customWidth="1"/>
    <col min="4610" max="4610" width="1.1640625" style="165" customWidth="1"/>
    <col min="4611" max="4611" width="6" style="165" customWidth="1"/>
    <col min="4612" max="4612" width="1.6640625" style="165" customWidth="1"/>
    <col min="4613" max="4613" width="6" style="165" customWidth="1"/>
    <col min="4614" max="4614" width="1.6640625" style="165" customWidth="1"/>
    <col min="4615" max="4615" width="6" style="165" customWidth="1"/>
    <col min="4616" max="4616" width="1.6640625" style="165" customWidth="1"/>
    <col min="4617" max="4617" width="6" style="165" customWidth="1"/>
    <col min="4618" max="4618" width="1.6640625" style="165" customWidth="1"/>
    <col min="4619" max="4619" width="6" style="165" customWidth="1"/>
    <col min="4620" max="4620" width="1.33203125" style="165" customWidth="1"/>
    <col min="4621" max="4864" width="5.83203125" style="165" customWidth="1"/>
    <col min="4865" max="4865" width="30" style="165" customWidth="1"/>
    <col min="4866" max="4866" width="1.1640625" style="165" customWidth="1"/>
    <col min="4867" max="4867" width="6" style="165" customWidth="1"/>
    <col min="4868" max="4868" width="1.6640625" style="165" customWidth="1"/>
    <col min="4869" max="4869" width="6" style="165" customWidth="1"/>
    <col min="4870" max="4870" width="1.6640625" style="165" customWidth="1"/>
    <col min="4871" max="4871" width="6" style="165" customWidth="1"/>
    <col min="4872" max="4872" width="1.6640625" style="165" customWidth="1"/>
    <col min="4873" max="4873" width="6" style="165" customWidth="1"/>
    <col min="4874" max="4874" width="1.6640625" style="165" customWidth="1"/>
    <col min="4875" max="4875" width="6" style="165" customWidth="1"/>
    <col min="4876" max="4876" width="1.33203125" style="165" customWidth="1"/>
    <col min="4877" max="5120" width="5.83203125" style="165" customWidth="1"/>
    <col min="5121" max="5121" width="30" style="165" customWidth="1"/>
    <col min="5122" max="5122" width="1.1640625" style="165" customWidth="1"/>
    <col min="5123" max="5123" width="6" style="165" customWidth="1"/>
    <col min="5124" max="5124" width="1.6640625" style="165" customWidth="1"/>
    <col min="5125" max="5125" width="6" style="165" customWidth="1"/>
    <col min="5126" max="5126" width="1.6640625" style="165" customWidth="1"/>
    <col min="5127" max="5127" width="6" style="165" customWidth="1"/>
    <col min="5128" max="5128" width="1.6640625" style="165" customWidth="1"/>
    <col min="5129" max="5129" width="6" style="165" customWidth="1"/>
    <col min="5130" max="5130" width="1.6640625" style="165" customWidth="1"/>
    <col min="5131" max="5131" width="6" style="165" customWidth="1"/>
    <col min="5132" max="5132" width="1.33203125" style="165" customWidth="1"/>
    <col min="5133" max="5376" width="5.83203125" style="165" customWidth="1"/>
    <col min="5377" max="5377" width="30" style="165" customWidth="1"/>
    <col min="5378" max="5378" width="1.1640625" style="165" customWidth="1"/>
    <col min="5379" max="5379" width="6" style="165" customWidth="1"/>
    <col min="5380" max="5380" width="1.6640625" style="165" customWidth="1"/>
    <col min="5381" max="5381" width="6" style="165" customWidth="1"/>
    <col min="5382" max="5382" width="1.6640625" style="165" customWidth="1"/>
    <col min="5383" max="5383" width="6" style="165" customWidth="1"/>
    <col min="5384" max="5384" width="1.6640625" style="165" customWidth="1"/>
    <col min="5385" max="5385" width="6" style="165" customWidth="1"/>
    <col min="5386" max="5386" width="1.6640625" style="165" customWidth="1"/>
    <col min="5387" max="5387" width="6" style="165" customWidth="1"/>
    <col min="5388" max="5388" width="1.33203125" style="165" customWidth="1"/>
    <col min="5389" max="5632" width="5.83203125" style="165" customWidth="1"/>
    <col min="5633" max="5633" width="30" style="165" customWidth="1"/>
    <col min="5634" max="5634" width="1.1640625" style="165" customWidth="1"/>
    <col min="5635" max="5635" width="6" style="165" customWidth="1"/>
    <col min="5636" max="5636" width="1.6640625" style="165" customWidth="1"/>
    <col min="5637" max="5637" width="6" style="165" customWidth="1"/>
    <col min="5638" max="5638" width="1.6640625" style="165" customWidth="1"/>
    <col min="5639" max="5639" width="6" style="165" customWidth="1"/>
    <col min="5640" max="5640" width="1.6640625" style="165" customWidth="1"/>
    <col min="5641" max="5641" width="6" style="165" customWidth="1"/>
    <col min="5642" max="5642" width="1.6640625" style="165" customWidth="1"/>
    <col min="5643" max="5643" width="6" style="165" customWidth="1"/>
    <col min="5644" max="5644" width="1.33203125" style="165" customWidth="1"/>
    <col min="5645" max="5888" width="5.83203125" style="165" customWidth="1"/>
    <col min="5889" max="5889" width="30" style="165" customWidth="1"/>
    <col min="5890" max="5890" width="1.1640625" style="165" customWidth="1"/>
    <col min="5891" max="5891" width="6" style="165" customWidth="1"/>
    <col min="5892" max="5892" width="1.6640625" style="165" customWidth="1"/>
    <col min="5893" max="5893" width="6" style="165" customWidth="1"/>
    <col min="5894" max="5894" width="1.6640625" style="165" customWidth="1"/>
    <col min="5895" max="5895" width="6" style="165" customWidth="1"/>
    <col min="5896" max="5896" width="1.6640625" style="165" customWidth="1"/>
    <col min="5897" max="5897" width="6" style="165" customWidth="1"/>
    <col min="5898" max="5898" width="1.6640625" style="165" customWidth="1"/>
    <col min="5899" max="5899" width="6" style="165" customWidth="1"/>
    <col min="5900" max="5900" width="1.33203125" style="165" customWidth="1"/>
    <col min="5901" max="6144" width="5.83203125" style="165" customWidth="1"/>
    <col min="6145" max="6145" width="30" style="165" customWidth="1"/>
    <col min="6146" max="6146" width="1.1640625" style="165" customWidth="1"/>
    <col min="6147" max="6147" width="6" style="165" customWidth="1"/>
    <col min="6148" max="6148" width="1.6640625" style="165" customWidth="1"/>
    <col min="6149" max="6149" width="6" style="165" customWidth="1"/>
    <col min="6150" max="6150" width="1.6640625" style="165" customWidth="1"/>
    <col min="6151" max="6151" width="6" style="165" customWidth="1"/>
    <col min="6152" max="6152" width="1.6640625" style="165" customWidth="1"/>
    <col min="6153" max="6153" width="6" style="165" customWidth="1"/>
    <col min="6154" max="6154" width="1.6640625" style="165" customWidth="1"/>
    <col min="6155" max="6155" width="6" style="165" customWidth="1"/>
    <col min="6156" max="6156" width="1.33203125" style="165" customWidth="1"/>
    <col min="6157" max="6400" width="5.83203125" style="165" customWidth="1"/>
    <col min="6401" max="6401" width="30" style="165" customWidth="1"/>
    <col min="6402" max="6402" width="1.1640625" style="165" customWidth="1"/>
    <col min="6403" max="6403" width="6" style="165" customWidth="1"/>
    <col min="6404" max="6404" width="1.6640625" style="165" customWidth="1"/>
    <col min="6405" max="6405" width="6" style="165" customWidth="1"/>
    <col min="6406" max="6406" width="1.6640625" style="165" customWidth="1"/>
    <col min="6407" max="6407" width="6" style="165" customWidth="1"/>
    <col min="6408" max="6408" width="1.6640625" style="165" customWidth="1"/>
    <col min="6409" max="6409" width="6" style="165" customWidth="1"/>
    <col min="6410" max="6410" width="1.6640625" style="165" customWidth="1"/>
    <col min="6411" max="6411" width="6" style="165" customWidth="1"/>
    <col min="6412" max="6412" width="1.33203125" style="165" customWidth="1"/>
    <col min="6413" max="6656" width="5.83203125" style="165" customWidth="1"/>
    <col min="6657" max="6657" width="30" style="165" customWidth="1"/>
    <col min="6658" max="6658" width="1.1640625" style="165" customWidth="1"/>
    <col min="6659" max="6659" width="6" style="165" customWidth="1"/>
    <col min="6660" max="6660" width="1.6640625" style="165" customWidth="1"/>
    <col min="6661" max="6661" width="6" style="165" customWidth="1"/>
    <col min="6662" max="6662" width="1.6640625" style="165" customWidth="1"/>
    <col min="6663" max="6663" width="6" style="165" customWidth="1"/>
    <col min="6664" max="6664" width="1.6640625" style="165" customWidth="1"/>
    <col min="6665" max="6665" width="6" style="165" customWidth="1"/>
    <col min="6666" max="6666" width="1.6640625" style="165" customWidth="1"/>
    <col min="6667" max="6667" width="6" style="165" customWidth="1"/>
    <col min="6668" max="6668" width="1.33203125" style="165" customWidth="1"/>
    <col min="6669" max="6912" width="5.83203125" style="165" customWidth="1"/>
    <col min="6913" max="6913" width="30" style="165" customWidth="1"/>
    <col min="6914" max="6914" width="1.1640625" style="165" customWidth="1"/>
    <col min="6915" max="6915" width="6" style="165" customWidth="1"/>
    <col min="6916" max="6916" width="1.6640625" style="165" customWidth="1"/>
    <col min="6917" max="6917" width="6" style="165" customWidth="1"/>
    <col min="6918" max="6918" width="1.6640625" style="165" customWidth="1"/>
    <col min="6919" max="6919" width="6" style="165" customWidth="1"/>
    <col min="6920" max="6920" width="1.6640625" style="165" customWidth="1"/>
    <col min="6921" max="6921" width="6" style="165" customWidth="1"/>
    <col min="6922" max="6922" width="1.6640625" style="165" customWidth="1"/>
    <col min="6923" max="6923" width="6" style="165" customWidth="1"/>
    <col min="6924" max="6924" width="1.33203125" style="165" customWidth="1"/>
    <col min="6925" max="7168" width="5.83203125" style="165" customWidth="1"/>
    <col min="7169" max="7169" width="30" style="165" customWidth="1"/>
    <col min="7170" max="7170" width="1.1640625" style="165" customWidth="1"/>
    <col min="7171" max="7171" width="6" style="165" customWidth="1"/>
    <col min="7172" max="7172" width="1.6640625" style="165" customWidth="1"/>
    <col min="7173" max="7173" width="6" style="165" customWidth="1"/>
    <col min="7174" max="7174" width="1.6640625" style="165" customWidth="1"/>
    <col min="7175" max="7175" width="6" style="165" customWidth="1"/>
    <col min="7176" max="7176" width="1.6640625" style="165" customWidth="1"/>
    <col min="7177" max="7177" width="6" style="165" customWidth="1"/>
    <col min="7178" max="7178" width="1.6640625" style="165" customWidth="1"/>
    <col min="7179" max="7179" width="6" style="165" customWidth="1"/>
    <col min="7180" max="7180" width="1.33203125" style="165" customWidth="1"/>
    <col min="7181" max="7424" width="5.83203125" style="165" customWidth="1"/>
    <col min="7425" max="7425" width="30" style="165" customWidth="1"/>
    <col min="7426" max="7426" width="1.1640625" style="165" customWidth="1"/>
    <col min="7427" max="7427" width="6" style="165" customWidth="1"/>
    <col min="7428" max="7428" width="1.6640625" style="165" customWidth="1"/>
    <col min="7429" max="7429" width="6" style="165" customWidth="1"/>
    <col min="7430" max="7430" width="1.6640625" style="165" customWidth="1"/>
    <col min="7431" max="7431" width="6" style="165" customWidth="1"/>
    <col min="7432" max="7432" width="1.6640625" style="165" customWidth="1"/>
    <col min="7433" max="7433" width="6" style="165" customWidth="1"/>
    <col min="7434" max="7434" width="1.6640625" style="165" customWidth="1"/>
    <col min="7435" max="7435" width="6" style="165" customWidth="1"/>
    <col min="7436" max="7436" width="1.33203125" style="165" customWidth="1"/>
    <col min="7437" max="7680" width="5.83203125" style="165" customWidth="1"/>
    <col min="7681" max="7681" width="30" style="165" customWidth="1"/>
    <col min="7682" max="7682" width="1.1640625" style="165" customWidth="1"/>
    <col min="7683" max="7683" width="6" style="165" customWidth="1"/>
    <col min="7684" max="7684" width="1.6640625" style="165" customWidth="1"/>
    <col min="7685" max="7685" width="6" style="165" customWidth="1"/>
    <col min="7686" max="7686" width="1.6640625" style="165" customWidth="1"/>
    <col min="7687" max="7687" width="6" style="165" customWidth="1"/>
    <col min="7688" max="7688" width="1.6640625" style="165" customWidth="1"/>
    <col min="7689" max="7689" width="6" style="165" customWidth="1"/>
    <col min="7690" max="7690" width="1.6640625" style="165" customWidth="1"/>
    <col min="7691" max="7691" width="6" style="165" customWidth="1"/>
    <col min="7692" max="7692" width="1.33203125" style="165" customWidth="1"/>
    <col min="7693" max="7936" width="5.83203125" style="165" customWidth="1"/>
    <col min="7937" max="7937" width="30" style="165" customWidth="1"/>
    <col min="7938" max="7938" width="1.1640625" style="165" customWidth="1"/>
    <col min="7939" max="7939" width="6" style="165" customWidth="1"/>
    <col min="7940" max="7940" width="1.6640625" style="165" customWidth="1"/>
    <col min="7941" max="7941" width="6" style="165" customWidth="1"/>
    <col min="7942" max="7942" width="1.6640625" style="165" customWidth="1"/>
    <col min="7943" max="7943" width="6" style="165" customWidth="1"/>
    <col min="7944" max="7944" width="1.6640625" style="165" customWidth="1"/>
    <col min="7945" max="7945" width="6" style="165" customWidth="1"/>
    <col min="7946" max="7946" width="1.6640625" style="165" customWidth="1"/>
    <col min="7947" max="7947" width="6" style="165" customWidth="1"/>
    <col min="7948" max="7948" width="1.33203125" style="165" customWidth="1"/>
    <col min="7949" max="8192" width="5.83203125" style="165" customWidth="1"/>
    <col min="8193" max="8193" width="30" style="165" customWidth="1"/>
    <col min="8194" max="8194" width="1.1640625" style="165" customWidth="1"/>
    <col min="8195" max="8195" width="6" style="165" customWidth="1"/>
    <col min="8196" max="8196" width="1.6640625" style="165" customWidth="1"/>
    <col min="8197" max="8197" width="6" style="165" customWidth="1"/>
    <col min="8198" max="8198" width="1.6640625" style="165" customWidth="1"/>
    <col min="8199" max="8199" width="6" style="165" customWidth="1"/>
    <col min="8200" max="8200" width="1.6640625" style="165" customWidth="1"/>
    <col min="8201" max="8201" width="6" style="165" customWidth="1"/>
    <col min="8202" max="8202" width="1.6640625" style="165" customWidth="1"/>
    <col min="8203" max="8203" width="6" style="165" customWidth="1"/>
    <col min="8204" max="8204" width="1.33203125" style="165" customWidth="1"/>
    <col min="8205" max="8448" width="5.83203125" style="165" customWidth="1"/>
    <col min="8449" max="8449" width="30" style="165" customWidth="1"/>
    <col min="8450" max="8450" width="1.1640625" style="165" customWidth="1"/>
    <col min="8451" max="8451" width="6" style="165" customWidth="1"/>
    <col min="8452" max="8452" width="1.6640625" style="165" customWidth="1"/>
    <col min="8453" max="8453" width="6" style="165" customWidth="1"/>
    <col min="8454" max="8454" width="1.6640625" style="165" customWidth="1"/>
    <col min="8455" max="8455" width="6" style="165" customWidth="1"/>
    <col min="8456" max="8456" width="1.6640625" style="165" customWidth="1"/>
    <col min="8457" max="8457" width="6" style="165" customWidth="1"/>
    <col min="8458" max="8458" width="1.6640625" style="165" customWidth="1"/>
    <col min="8459" max="8459" width="6" style="165" customWidth="1"/>
    <col min="8460" max="8460" width="1.33203125" style="165" customWidth="1"/>
    <col min="8461" max="8704" width="5.83203125" style="165" customWidth="1"/>
    <col min="8705" max="8705" width="30" style="165" customWidth="1"/>
    <col min="8706" max="8706" width="1.1640625" style="165" customWidth="1"/>
    <col min="8707" max="8707" width="6" style="165" customWidth="1"/>
    <col min="8708" max="8708" width="1.6640625" style="165" customWidth="1"/>
    <col min="8709" max="8709" width="6" style="165" customWidth="1"/>
    <col min="8710" max="8710" width="1.6640625" style="165" customWidth="1"/>
    <col min="8711" max="8711" width="6" style="165" customWidth="1"/>
    <col min="8712" max="8712" width="1.6640625" style="165" customWidth="1"/>
    <col min="8713" max="8713" width="6" style="165" customWidth="1"/>
    <col min="8714" max="8714" width="1.6640625" style="165" customWidth="1"/>
    <col min="8715" max="8715" width="6" style="165" customWidth="1"/>
    <col min="8716" max="8716" width="1.33203125" style="165" customWidth="1"/>
    <col min="8717" max="8960" width="5.83203125" style="165" customWidth="1"/>
    <col min="8961" max="8961" width="30" style="165" customWidth="1"/>
    <col min="8962" max="8962" width="1.1640625" style="165" customWidth="1"/>
    <col min="8963" max="8963" width="6" style="165" customWidth="1"/>
    <col min="8964" max="8964" width="1.6640625" style="165" customWidth="1"/>
    <col min="8965" max="8965" width="6" style="165" customWidth="1"/>
    <col min="8966" max="8966" width="1.6640625" style="165" customWidth="1"/>
    <col min="8967" max="8967" width="6" style="165" customWidth="1"/>
    <col min="8968" max="8968" width="1.6640625" style="165" customWidth="1"/>
    <col min="8969" max="8969" width="6" style="165" customWidth="1"/>
    <col min="8970" max="8970" width="1.6640625" style="165" customWidth="1"/>
    <col min="8971" max="8971" width="6" style="165" customWidth="1"/>
    <col min="8972" max="8972" width="1.33203125" style="165" customWidth="1"/>
    <col min="8973" max="9216" width="5.83203125" style="165" customWidth="1"/>
    <col min="9217" max="9217" width="30" style="165" customWidth="1"/>
    <col min="9218" max="9218" width="1.1640625" style="165" customWidth="1"/>
    <col min="9219" max="9219" width="6" style="165" customWidth="1"/>
    <col min="9220" max="9220" width="1.6640625" style="165" customWidth="1"/>
    <col min="9221" max="9221" width="6" style="165" customWidth="1"/>
    <col min="9222" max="9222" width="1.6640625" style="165" customWidth="1"/>
    <col min="9223" max="9223" width="6" style="165" customWidth="1"/>
    <col min="9224" max="9224" width="1.6640625" style="165" customWidth="1"/>
    <col min="9225" max="9225" width="6" style="165" customWidth="1"/>
    <col min="9226" max="9226" width="1.6640625" style="165" customWidth="1"/>
    <col min="9227" max="9227" width="6" style="165" customWidth="1"/>
    <col min="9228" max="9228" width="1.33203125" style="165" customWidth="1"/>
    <col min="9229" max="9472" width="5.83203125" style="165" customWidth="1"/>
    <col min="9473" max="9473" width="30" style="165" customWidth="1"/>
    <col min="9474" max="9474" width="1.1640625" style="165" customWidth="1"/>
    <col min="9475" max="9475" width="6" style="165" customWidth="1"/>
    <col min="9476" max="9476" width="1.6640625" style="165" customWidth="1"/>
    <col min="9477" max="9477" width="6" style="165" customWidth="1"/>
    <col min="9478" max="9478" width="1.6640625" style="165" customWidth="1"/>
    <col min="9479" max="9479" width="6" style="165" customWidth="1"/>
    <col min="9480" max="9480" width="1.6640625" style="165" customWidth="1"/>
    <col min="9481" max="9481" width="6" style="165" customWidth="1"/>
    <col min="9482" max="9482" width="1.6640625" style="165" customWidth="1"/>
    <col min="9483" max="9483" width="6" style="165" customWidth="1"/>
    <col min="9484" max="9484" width="1.33203125" style="165" customWidth="1"/>
    <col min="9485" max="9728" width="5.83203125" style="165" customWidth="1"/>
    <col min="9729" max="9729" width="30" style="165" customWidth="1"/>
    <col min="9730" max="9730" width="1.1640625" style="165" customWidth="1"/>
    <col min="9731" max="9731" width="6" style="165" customWidth="1"/>
    <col min="9732" max="9732" width="1.6640625" style="165" customWidth="1"/>
    <col min="9733" max="9733" width="6" style="165" customWidth="1"/>
    <col min="9734" max="9734" width="1.6640625" style="165" customWidth="1"/>
    <col min="9735" max="9735" width="6" style="165" customWidth="1"/>
    <col min="9736" max="9736" width="1.6640625" style="165" customWidth="1"/>
    <col min="9737" max="9737" width="6" style="165" customWidth="1"/>
    <col min="9738" max="9738" width="1.6640625" style="165" customWidth="1"/>
    <col min="9739" max="9739" width="6" style="165" customWidth="1"/>
    <col min="9740" max="9740" width="1.33203125" style="165" customWidth="1"/>
    <col min="9741" max="9984" width="5.83203125" style="165" customWidth="1"/>
    <col min="9985" max="9985" width="30" style="165" customWidth="1"/>
    <col min="9986" max="9986" width="1.1640625" style="165" customWidth="1"/>
    <col min="9987" max="9987" width="6" style="165" customWidth="1"/>
    <col min="9988" max="9988" width="1.6640625" style="165" customWidth="1"/>
    <col min="9989" max="9989" width="6" style="165" customWidth="1"/>
    <col min="9990" max="9990" width="1.6640625" style="165" customWidth="1"/>
    <col min="9991" max="9991" width="6" style="165" customWidth="1"/>
    <col min="9992" max="9992" width="1.6640625" style="165" customWidth="1"/>
    <col min="9993" max="9993" width="6" style="165" customWidth="1"/>
    <col min="9994" max="9994" width="1.6640625" style="165" customWidth="1"/>
    <col min="9995" max="9995" width="6" style="165" customWidth="1"/>
    <col min="9996" max="9996" width="1.33203125" style="165" customWidth="1"/>
    <col min="9997" max="10240" width="5.83203125" style="165" customWidth="1"/>
    <col min="10241" max="10241" width="30" style="165" customWidth="1"/>
    <col min="10242" max="10242" width="1.1640625" style="165" customWidth="1"/>
    <col min="10243" max="10243" width="6" style="165" customWidth="1"/>
    <col min="10244" max="10244" width="1.6640625" style="165" customWidth="1"/>
    <col min="10245" max="10245" width="6" style="165" customWidth="1"/>
    <col min="10246" max="10246" width="1.6640625" style="165" customWidth="1"/>
    <col min="10247" max="10247" width="6" style="165" customWidth="1"/>
    <col min="10248" max="10248" width="1.6640625" style="165" customWidth="1"/>
    <col min="10249" max="10249" width="6" style="165" customWidth="1"/>
    <col min="10250" max="10250" width="1.6640625" style="165" customWidth="1"/>
    <col min="10251" max="10251" width="6" style="165" customWidth="1"/>
    <col min="10252" max="10252" width="1.33203125" style="165" customWidth="1"/>
    <col min="10253" max="10496" width="5.83203125" style="165" customWidth="1"/>
    <col min="10497" max="10497" width="30" style="165" customWidth="1"/>
    <col min="10498" max="10498" width="1.1640625" style="165" customWidth="1"/>
    <col min="10499" max="10499" width="6" style="165" customWidth="1"/>
    <col min="10500" max="10500" width="1.6640625" style="165" customWidth="1"/>
    <col min="10501" max="10501" width="6" style="165" customWidth="1"/>
    <col min="10502" max="10502" width="1.6640625" style="165" customWidth="1"/>
    <col min="10503" max="10503" width="6" style="165" customWidth="1"/>
    <col min="10504" max="10504" width="1.6640625" style="165" customWidth="1"/>
    <col min="10505" max="10505" width="6" style="165" customWidth="1"/>
    <col min="10506" max="10506" width="1.6640625" style="165" customWidth="1"/>
    <col min="10507" max="10507" width="6" style="165" customWidth="1"/>
    <col min="10508" max="10508" width="1.33203125" style="165" customWidth="1"/>
    <col min="10509" max="10752" width="5.83203125" style="165" customWidth="1"/>
    <col min="10753" max="10753" width="30" style="165" customWidth="1"/>
    <col min="10754" max="10754" width="1.1640625" style="165" customWidth="1"/>
    <col min="10755" max="10755" width="6" style="165" customWidth="1"/>
    <col min="10756" max="10756" width="1.6640625" style="165" customWidth="1"/>
    <col min="10757" max="10757" width="6" style="165" customWidth="1"/>
    <col min="10758" max="10758" width="1.6640625" style="165" customWidth="1"/>
    <col min="10759" max="10759" width="6" style="165" customWidth="1"/>
    <col min="10760" max="10760" width="1.6640625" style="165" customWidth="1"/>
    <col min="10761" max="10761" width="6" style="165" customWidth="1"/>
    <col min="10762" max="10762" width="1.6640625" style="165" customWidth="1"/>
    <col min="10763" max="10763" width="6" style="165" customWidth="1"/>
    <col min="10764" max="10764" width="1.33203125" style="165" customWidth="1"/>
    <col min="10765" max="11008" width="5.83203125" style="165" customWidth="1"/>
    <col min="11009" max="11009" width="30" style="165" customWidth="1"/>
    <col min="11010" max="11010" width="1.1640625" style="165" customWidth="1"/>
    <col min="11011" max="11011" width="6" style="165" customWidth="1"/>
    <col min="11012" max="11012" width="1.6640625" style="165" customWidth="1"/>
    <col min="11013" max="11013" width="6" style="165" customWidth="1"/>
    <col min="11014" max="11014" width="1.6640625" style="165" customWidth="1"/>
    <col min="11015" max="11015" width="6" style="165" customWidth="1"/>
    <col min="11016" max="11016" width="1.6640625" style="165" customWidth="1"/>
    <col min="11017" max="11017" width="6" style="165" customWidth="1"/>
    <col min="11018" max="11018" width="1.6640625" style="165" customWidth="1"/>
    <col min="11019" max="11019" width="6" style="165" customWidth="1"/>
    <col min="11020" max="11020" width="1.33203125" style="165" customWidth="1"/>
    <col min="11021" max="11264" width="5.83203125" style="165" customWidth="1"/>
    <col min="11265" max="11265" width="30" style="165" customWidth="1"/>
    <col min="11266" max="11266" width="1.1640625" style="165" customWidth="1"/>
    <col min="11267" max="11267" width="6" style="165" customWidth="1"/>
    <col min="11268" max="11268" width="1.6640625" style="165" customWidth="1"/>
    <col min="11269" max="11269" width="6" style="165" customWidth="1"/>
    <col min="11270" max="11270" width="1.6640625" style="165" customWidth="1"/>
    <col min="11271" max="11271" width="6" style="165" customWidth="1"/>
    <col min="11272" max="11272" width="1.6640625" style="165" customWidth="1"/>
    <col min="11273" max="11273" width="6" style="165" customWidth="1"/>
    <col min="11274" max="11274" width="1.6640625" style="165" customWidth="1"/>
    <col min="11275" max="11275" width="6" style="165" customWidth="1"/>
    <col min="11276" max="11276" width="1.33203125" style="165" customWidth="1"/>
    <col min="11277" max="11520" width="5.83203125" style="165" customWidth="1"/>
    <col min="11521" max="11521" width="30" style="165" customWidth="1"/>
    <col min="11522" max="11522" width="1.1640625" style="165" customWidth="1"/>
    <col min="11523" max="11523" width="6" style="165" customWidth="1"/>
    <col min="11524" max="11524" width="1.6640625" style="165" customWidth="1"/>
    <col min="11525" max="11525" width="6" style="165" customWidth="1"/>
    <col min="11526" max="11526" width="1.6640625" style="165" customWidth="1"/>
    <col min="11527" max="11527" width="6" style="165" customWidth="1"/>
    <col min="11528" max="11528" width="1.6640625" style="165" customWidth="1"/>
    <col min="11529" max="11529" width="6" style="165" customWidth="1"/>
    <col min="11530" max="11530" width="1.6640625" style="165" customWidth="1"/>
    <col min="11531" max="11531" width="6" style="165" customWidth="1"/>
    <col min="11532" max="11532" width="1.33203125" style="165" customWidth="1"/>
    <col min="11533" max="11776" width="5.83203125" style="165" customWidth="1"/>
    <col min="11777" max="11777" width="30" style="165" customWidth="1"/>
    <col min="11778" max="11778" width="1.1640625" style="165" customWidth="1"/>
    <col min="11779" max="11779" width="6" style="165" customWidth="1"/>
    <col min="11780" max="11780" width="1.6640625" style="165" customWidth="1"/>
    <col min="11781" max="11781" width="6" style="165" customWidth="1"/>
    <col min="11782" max="11782" width="1.6640625" style="165" customWidth="1"/>
    <col min="11783" max="11783" width="6" style="165" customWidth="1"/>
    <col min="11784" max="11784" width="1.6640625" style="165" customWidth="1"/>
    <col min="11785" max="11785" width="6" style="165" customWidth="1"/>
    <col min="11786" max="11786" width="1.6640625" style="165" customWidth="1"/>
    <col min="11787" max="11787" width="6" style="165" customWidth="1"/>
    <col min="11788" max="11788" width="1.33203125" style="165" customWidth="1"/>
    <col min="11789" max="12032" width="5.83203125" style="165" customWidth="1"/>
    <col min="12033" max="12033" width="30" style="165" customWidth="1"/>
    <col min="12034" max="12034" width="1.1640625" style="165" customWidth="1"/>
    <col min="12035" max="12035" width="6" style="165" customWidth="1"/>
    <col min="12036" max="12036" width="1.6640625" style="165" customWidth="1"/>
    <col min="12037" max="12037" width="6" style="165" customWidth="1"/>
    <col min="12038" max="12038" width="1.6640625" style="165" customWidth="1"/>
    <col min="12039" max="12039" width="6" style="165" customWidth="1"/>
    <col min="12040" max="12040" width="1.6640625" style="165" customWidth="1"/>
    <col min="12041" max="12041" width="6" style="165" customWidth="1"/>
    <col min="12042" max="12042" width="1.6640625" style="165" customWidth="1"/>
    <col min="12043" max="12043" width="6" style="165" customWidth="1"/>
    <col min="12044" max="12044" width="1.33203125" style="165" customWidth="1"/>
    <col min="12045" max="12288" width="5.83203125" style="165" customWidth="1"/>
    <col min="12289" max="12289" width="30" style="165" customWidth="1"/>
    <col min="12290" max="12290" width="1.1640625" style="165" customWidth="1"/>
    <col min="12291" max="12291" width="6" style="165" customWidth="1"/>
    <col min="12292" max="12292" width="1.6640625" style="165" customWidth="1"/>
    <col min="12293" max="12293" width="6" style="165" customWidth="1"/>
    <col min="12294" max="12294" width="1.6640625" style="165" customWidth="1"/>
    <col min="12295" max="12295" width="6" style="165" customWidth="1"/>
    <col min="12296" max="12296" width="1.6640625" style="165" customWidth="1"/>
    <col min="12297" max="12297" width="6" style="165" customWidth="1"/>
    <col min="12298" max="12298" width="1.6640625" style="165" customWidth="1"/>
    <col min="12299" max="12299" width="6" style="165" customWidth="1"/>
    <col min="12300" max="12300" width="1.33203125" style="165" customWidth="1"/>
    <col min="12301" max="12544" width="5.83203125" style="165" customWidth="1"/>
    <col min="12545" max="12545" width="30" style="165" customWidth="1"/>
    <col min="12546" max="12546" width="1.1640625" style="165" customWidth="1"/>
    <col min="12547" max="12547" width="6" style="165" customWidth="1"/>
    <col min="12548" max="12548" width="1.6640625" style="165" customWidth="1"/>
    <col min="12549" max="12549" width="6" style="165" customWidth="1"/>
    <col min="12550" max="12550" width="1.6640625" style="165" customWidth="1"/>
    <col min="12551" max="12551" width="6" style="165" customWidth="1"/>
    <col min="12552" max="12552" width="1.6640625" style="165" customWidth="1"/>
    <col min="12553" max="12553" width="6" style="165" customWidth="1"/>
    <col min="12554" max="12554" width="1.6640625" style="165" customWidth="1"/>
    <col min="12555" max="12555" width="6" style="165" customWidth="1"/>
    <col min="12556" max="12556" width="1.33203125" style="165" customWidth="1"/>
    <col min="12557" max="12800" width="5.83203125" style="165" customWidth="1"/>
    <col min="12801" max="12801" width="30" style="165" customWidth="1"/>
    <col min="12802" max="12802" width="1.1640625" style="165" customWidth="1"/>
    <col min="12803" max="12803" width="6" style="165" customWidth="1"/>
    <col min="12804" max="12804" width="1.6640625" style="165" customWidth="1"/>
    <col min="12805" max="12805" width="6" style="165" customWidth="1"/>
    <col min="12806" max="12806" width="1.6640625" style="165" customWidth="1"/>
    <col min="12807" max="12807" width="6" style="165" customWidth="1"/>
    <col min="12808" max="12808" width="1.6640625" style="165" customWidth="1"/>
    <col min="12809" max="12809" width="6" style="165" customWidth="1"/>
    <col min="12810" max="12810" width="1.6640625" style="165" customWidth="1"/>
    <col min="12811" max="12811" width="6" style="165" customWidth="1"/>
    <col min="12812" max="12812" width="1.33203125" style="165" customWidth="1"/>
    <col min="12813" max="13056" width="5.83203125" style="165" customWidth="1"/>
    <col min="13057" max="13057" width="30" style="165" customWidth="1"/>
    <col min="13058" max="13058" width="1.1640625" style="165" customWidth="1"/>
    <col min="13059" max="13059" width="6" style="165" customWidth="1"/>
    <col min="13060" max="13060" width="1.6640625" style="165" customWidth="1"/>
    <col min="13061" max="13061" width="6" style="165" customWidth="1"/>
    <col min="13062" max="13062" width="1.6640625" style="165" customWidth="1"/>
    <col min="13063" max="13063" width="6" style="165" customWidth="1"/>
    <col min="13064" max="13064" width="1.6640625" style="165" customWidth="1"/>
    <col min="13065" max="13065" width="6" style="165" customWidth="1"/>
    <col min="13066" max="13066" width="1.6640625" style="165" customWidth="1"/>
    <col min="13067" max="13067" width="6" style="165" customWidth="1"/>
    <col min="13068" max="13068" width="1.33203125" style="165" customWidth="1"/>
    <col min="13069" max="13312" width="5.83203125" style="165" customWidth="1"/>
    <col min="13313" max="13313" width="30" style="165" customWidth="1"/>
    <col min="13314" max="13314" width="1.1640625" style="165" customWidth="1"/>
    <col min="13315" max="13315" width="6" style="165" customWidth="1"/>
    <col min="13316" max="13316" width="1.6640625" style="165" customWidth="1"/>
    <col min="13317" max="13317" width="6" style="165" customWidth="1"/>
    <col min="13318" max="13318" width="1.6640625" style="165" customWidth="1"/>
    <col min="13319" max="13319" width="6" style="165" customWidth="1"/>
    <col min="13320" max="13320" width="1.6640625" style="165" customWidth="1"/>
    <col min="13321" max="13321" width="6" style="165" customWidth="1"/>
    <col min="13322" max="13322" width="1.6640625" style="165" customWidth="1"/>
    <col min="13323" max="13323" width="6" style="165" customWidth="1"/>
    <col min="13324" max="13324" width="1.33203125" style="165" customWidth="1"/>
    <col min="13325" max="13568" width="5.83203125" style="165" customWidth="1"/>
    <col min="13569" max="13569" width="30" style="165" customWidth="1"/>
    <col min="13570" max="13570" width="1.1640625" style="165" customWidth="1"/>
    <col min="13571" max="13571" width="6" style="165" customWidth="1"/>
    <col min="13572" max="13572" width="1.6640625" style="165" customWidth="1"/>
    <col min="13573" max="13573" width="6" style="165" customWidth="1"/>
    <col min="13574" max="13574" width="1.6640625" style="165" customWidth="1"/>
    <col min="13575" max="13575" width="6" style="165" customWidth="1"/>
    <col min="13576" max="13576" width="1.6640625" style="165" customWidth="1"/>
    <col min="13577" max="13577" width="6" style="165" customWidth="1"/>
    <col min="13578" max="13578" width="1.6640625" style="165" customWidth="1"/>
    <col min="13579" max="13579" width="6" style="165" customWidth="1"/>
    <col min="13580" max="13580" width="1.33203125" style="165" customWidth="1"/>
    <col min="13581" max="13824" width="5.83203125" style="165" customWidth="1"/>
    <col min="13825" max="13825" width="30" style="165" customWidth="1"/>
    <col min="13826" max="13826" width="1.1640625" style="165" customWidth="1"/>
    <col min="13827" max="13827" width="6" style="165" customWidth="1"/>
    <col min="13828" max="13828" width="1.6640625" style="165" customWidth="1"/>
    <col min="13829" max="13829" width="6" style="165" customWidth="1"/>
    <col min="13830" max="13830" width="1.6640625" style="165" customWidth="1"/>
    <col min="13831" max="13831" width="6" style="165" customWidth="1"/>
    <col min="13832" max="13832" width="1.6640625" style="165" customWidth="1"/>
    <col min="13833" max="13833" width="6" style="165" customWidth="1"/>
    <col min="13834" max="13834" width="1.6640625" style="165" customWidth="1"/>
    <col min="13835" max="13835" width="6" style="165" customWidth="1"/>
    <col min="13836" max="13836" width="1.33203125" style="165" customWidth="1"/>
    <col min="13837" max="14080" width="5.83203125" style="165" customWidth="1"/>
    <col min="14081" max="14081" width="30" style="165" customWidth="1"/>
    <col min="14082" max="14082" width="1.1640625" style="165" customWidth="1"/>
    <col min="14083" max="14083" width="6" style="165" customWidth="1"/>
    <col min="14084" max="14084" width="1.6640625" style="165" customWidth="1"/>
    <col min="14085" max="14085" width="6" style="165" customWidth="1"/>
    <col min="14086" max="14086" width="1.6640625" style="165" customWidth="1"/>
    <col min="14087" max="14087" width="6" style="165" customWidth="1"/>
    <col min="14088" max="14088" width="1.6640625" style="165" customWidth="1"/>
    <col min="14089" max="14089" width="6" style="165" customWidth="1"/>
    <col min="14090" max="14090" width="1.6640625" style="165" customWidth="1"/>
    <col min="14091" max="14091" width="6" style="165" customWidth="1"/>
    <col min="14092" max="14092" width="1.33203125" style="165" customWidth="1"/>
    <col min="14093" max="14336" width="5.83203125" style="165" customWidth="1"/>
    <col min="14337" max="14337" width="30" style="165" customWidth="1"/>
    <col min="14338" max="14338" width="1.1640625" style="165" customWidth="1"/>
    <col min="14339" max="14339" width="6" style="165" customWidth="1"/>
    <col min="14340" max="14340" width="1.6640625" style="165" customWidth="1"/>
    <col min="14341" max="14341" width="6" style="165" customWidth="1"/>
    <col min="14342" max="14342" width="1.6640625" style="165" customWidth="1"/>
    <col min="14343" max="14343" width="6" style="165" customWidth="1"/>
    <col min="14344" max="14344" width="1.6640625" style="165" customWidth="1"/>
    <col min="14345" max="14345" width="6" style="165" customWidth="1"/>
    <col min="14346" max="14346" width="1.6640625" style="165" customWidth="1"/>
    <col min="14347" max="14347" width="6" style="165" customWidth="1"/>
    <col min="14348" max="14348" width="1.33203125" style="165" customWidth="1"/>
    <col min="14349" max="14592" width="5.83203125" style="165" customWidth="1"/>
    <col min="14593" max="14593" width="30" style="165" customWidth="1"/>
    <col min="14594" max="14594" width="1.1640625" style="165" customWidth="1"/>
    <col min="14595" max="14595" width="6" style="165" customWidth="1"/>
    <col min="14596" max="14596" width="1.6640625" style="165" customWidth="1"/>
    <col min="14597" max="14597" width="6" style="165" customWidth="1"/>
    <col min="14598" max="14598" width="1.6640625" style="165" customWidth="1"/>
    <col min="14599" max="14599" width="6" style="165" customWidth="1"/>
    <col min="14600" max="14600" width="1.6640625" style="165" customWidth="1"/>
    <col min="14601" max="14601" width="6" style="165" customWidth="1"/>
    <col min="14602" max="14602" width="1.6640625" style="165" customWidth="1"/>
    <col min="14603" max="14603" width="6" style="165" customWidth="1"/>
    <col min="14604" max="14604" width="1.33203125" style="165" customWidth="1"/>
    <col min="14605" max="14848" width="5.83203125" style="165" customWidth="1"/>
    <col min="14849" max="14849" width="30" style="165" customWidth="1"/>
    <col min="14850" max="14850" width="1.1640625" style="165" customWidth="1"/>
    <col min="14851" max="14851" width="6" style="165" customWidth="1"/>
    <col min="14852" max="14852" width="1.6640625" style="165" customWidth="1"/>
    <col min="14853" max="14853" width="6" style="165" customWidth="1"/>
    <col min="14854" max="14854" width="1.6640625" style="165" customWidth="1"/>
    <col min="14855" max="14855" width="6" style="165" customWidth="1"/>
    <col min="14856" max="14856" width="1.6640625" style="165" customWidth="1"/>
    <col min="14857" max="14857" width="6" style="165" customWidth="1"/>
    <col min="14858" max="14858" width="1.6640625" style="165" customWidth="1"/>
    <col min="14859" max="14859" width="6" style="165" customWidth="1"/>
    <col min="14860" max="14860" width="1.33203125" style="165" customWidth="1"/>
    <col min="14861" max="15104" width="5.83203125" style="165" customWidth="1"/>
    <col min="15105" max="15105" width="30" style="165" customWidth="1"/>
    <col min="15106" max="15106" width="1.1640625" style="165" customWidth="1"/>
    <col min="15107" max="15107" width="6" style="165" customWidth="1"/>
    <col min="15108" max="15108" width="1.6640625" style="165" customWidth="1"/>
    <col min="15109" max="15109" width="6" style="165" customWidth="1"/>
    <col min="15110" max="15110" width="1.6640625" style="165" customWidth="1"/>
    <col min="15111" max="15111" width="6" style="165" customWidth="1"/>
    <col min="15112" max="15112" width="1.6640625" style="165" customWidth="1"/>
    <col min="15113" max="15113" width="6" style="165" customWidth="1"/>
    <col min="15114" max="15114" width="1.6640625" style="165" customWidth="1"/>
    <col min="15115" max="15115" width="6" style="165" customWidth="1"/>
    <col min="15116" max="15116" width="1.33203125" style="165" customWidth="1"/>
    <col min="15117" max="15360" width="5.83203125" style="165" customWidth="1"/>
    <col min="15361" max="15361" width="30" style="165" customWidth="1"/>
    <col min="15362" max="15362" width="1.1640625" style="165" customWidth="1"/>
    <col min="15363" max="15363" width="6" style="165" customWidth="1"/>
    <col min="15364" max="15364" width="1.6640625" style="165" customWidth="1"/>
    <col min="15365" max="15365" width="6" style="165" customWidth="1"/>
    <col min="15366" max="15366" width="1.6640625" style="165" customWidth="1"/>
    <col min="15367" max="15367" width="6" style="165" customWidth="1"/>
    <col min="15368" max="15368" width="1.6640625" style="165" customWidth="1"/>
    <col min="15369" max="15369" width="6" style="165" customWidth="1"/>
    <col min="15370" max="15370" width="1.6640625" style="165" customWidth="1"/>
    <col min="15371" max="15371" width="6" style="165" customWidth="1"/>
    <col min="15372" max="15372" width="1.33203125" style="165" customWidth="1"/>
    <col min="15373" max="15616" width="5.83203125" style="165" customWidth="1"/>
    <col min="15617" max="15617" width="30" style="165" customWidth="1"/>
    <col min="15618" max="15618" width="1.1640625" style="165" customWidth="1"/>
    <col min="15619" max="15619" width="6" style="165" customWidth="1"/>
    <col min="15620" max="15620" width="1.6640625" style="165" customWidth="1"/>
    <col min="15621" max="15621" width="6" style="165" customWidth="1"/>
    <col min="15622" max="15622" width="1.6640625" style="165" customWidth="1"/>
    <col min="15623" max="15623" width="6" style="165" customWidth="1"/>
    <col min="15624" max="15624" width="1.6640625" style="165" customWidth="1"/>
    <col min="15625" max="15625" width="6" style="165" customWidth="1"/>
    <col min="15626" max="15626" width="1.6640625" style="165" customWidth="1"/>
    <col min="15627" max="15627" width="6" style="165" customWidth="1"/>
    <col min="15628" max="15628" width="1.33203125" style="165" customWidth="1"/>
    <col min="15629" max="15872" width="5.83203125" style="165" customWidth="1"/>
    <col min="15873" max="15873" width="30" style="165" customWidth="1"/>
    <col min="15874" max="15874" width="1.1640625" style="165" customWidth="1"/>
    <col min="15875" max="15875" width="6" style="165" customWidth="1"/>
    <col min="15876" max="15876" width="1.6640625" style="165" customWidth="1"/>
    <col min="15877" max="15877" width="6" style="165" customWidth="1"/>
    <col min="15878" max="15878" width="1.6640625" style="165" customWidth="1"/>
    <col min="15879" max="15879" width="6" style="165" customWidth="1"/>
    <col min="15880" max="15880" width="1.6640625" style="165" customWidth="1"/>
    <col min="15881" max="15881" width="6" style="165" customWidth="1"/>
    <col min="15882" max="15882" width="1.6640625" style="165" customWidth="1"/>
    <col min="15883" max="15883" width="6" style="165" customWidth="1"/>
    <col min="15884" max="15884" width="1.33203125" style="165" customWidth="1"/>
    <col min="15885" max="16128" width="5.83203125" style="165" customWidth="1"/>
    <col min="16129" max="16129" width="30" style="165" customWidth="1"/>
    <col min="16130" max="16130" width="1.1640625" style="165" customWidth="1"/>
    <col min="16131" max="16131" width="6" style="165" customWidth="1"/>
    <col min="16132" max="16132" width="1.6640625" style="165" customWidth="1"/>
    <col min="16133" max="16133" width="6" style="165" customWidth="1"/>
    <col min="16134" max="16134" width="1.6640625" style="165" customWidth="1"/>
    <col min="16135" max="16135" width="6" style="165" customWidth="1"/>
    <col min="16136" max="16136" width="1.6640625" style="165" customWidth="1"/>
    <col min="16137" max="16137" width="6" style="165" customWidth="1"/>
    <col min="16138" max="16138" width="1.6640625" style="165" customWidth="1"/>
    <col min="16139" max="16139" width="6" style="165" customWidth="1"/>
    <col min="16140" max="16140" width="1.33203125" style="165" customWidth="1"/>
    <col min="16141" max="16384" width="5.83203125" style="165" customWidth="1"/>
  </cols>
  <sheetData>
    <row r="1" spans="1:12" ht="11.25" customHeight="1">
      <c r="A1" s="418" t="s">
        <v>420</v>
      </c>
      <c r="B1" s="418"/>
      <c r="C1" s="418"/>
      <c r="D1" s="418"/>
      <c r="E1" s="418"/>
      <c r="F1" s="418"/>
      <c r="G1" s="418"/>
      <c r="H1" s="418"/>
      <c r="I1" s="418"/>
      <c r="J1" s="418"/>
      <c r="K1" s="418"/>
      <c r="L1" s="418"/>
    </row>
    <row r="2" spans="1:12" ht="11.25" customHeight="1">
      <c r="A2" s="418" t="s">
        <v>500</v>
      </c>
      <c r="B2" s="418"/>
      <c r="C2" s="418"/>
      <c r="D2" s="418"/>
      <c r="E2" s="418"/>
      <c r="F2" s="418"/>
      <c r="G2" s="418"/>
      <c r="H2" s="418"/>
      <c r="I2" s="418"/>
      <c r="J2" s="418"/>
      <c r="K2" s="418"/>
      <c r="L2" s="418"/>
    </row>
    <row r="3" spans="1:12" ht="11.25" customHeight="1">
      <c r="A3" s="447"/>
      <c r="B3" s="447"/>
      <c r="C3" s="447"/>
      <c r="D3" s="447"/>
      <c r="E3" s="447"/>
      <c r="F3" s="447"/>
      <c r="G3" s="447"/>
      <c r="H3" s="447"/>
      <c r="I3" s="447"/>
      <c r="J3" s="447"/>
      <c r="K3" s="447"/>
      <c r="L3" s="447"/>
    </row>
    <row r="4" spans="1:12" ht="11.25" customHeight="1">
      <c r="A4" s="418" t="s">
        <v>0</v>
      </c>
      <c r="B4" s="418"/>
      <c r="C4" s="418"/>
      <c r="D4" s="418"/>
      <c r="E4" s="418"/>
      <c r="F4" s="418"/>
      <c r="G4" s="418"/>
      <c r="H4" s="418"/>
      <c r="I4" s="418"/>
      <c r="J4" s="418"/>
      <c r="K4" s="418"/>
      <c r="L4" s="418"/>
    </row>
    <row r="5" spans="1:12" ht="11.25" customHeight="1">
      <c r="A5" s="418"/>
      <c r="B5" s="418"/>
      <c r="C5" s="418"/>
      <c r="D5" s="418"/>
      <c r="E5" s="418"/>
      <c r="F5" s="418"/>
      <c r="G5" s="418"/>
      <c r="H5" s="418"/>
      <c r="I5" s="418"/>
      <c r="J5" s="418"/>
      <c r="K5" s="418"/>
      <c r="L5" s="418"/>
    </row>
    <row r="6" spans="1:12" ht="12.5" customHeight="1">
      <c r="A6" s="257" t="s">
        <v>1</v>
      </c>
      <c r="B6" s="258"/>
      <c r="C6" s="259" t="s">
        <v>95</v>
      </c>
      <c r="D6" s="260"/>
      <c r="E6" s="259" t="s">
        <v>96</v>
      </c>
      <c r="F6" s="260"/>
      <c r="G6" s="259" t="s">
        <v>97</v>
      </c>
      <c r="H6" s="261"/>
      <c r="I6" s="259" t="s">
        <v>98</v>
      </c>
      <c r="J6" s="261"/>
      <c r="K6" s="259" t="s">
        <v>465</v>
      </c>
      <c r="L6" s="261"/>
    </row>
    <row r="7" spans="1:12" ht="11.25" customHeight="1">
      <c r="A7" s="262" t="s">
        <v>424</v>
      </c>
      <c r="B7" s="263"/>
      <c r="C7" s="264">
        <v>380</v>
      </c>
      <c r="D7" s="265"/>
      <c r="E7" s="264">
        <v>440</v>
      </c>
      <c r="F7" s="265"/>
      <c r="G7" s="264">
        <v>390</v>
      </c>
      <c r="H7" s="265" t="s">
        <v>79</v>
      </c>
      <c r="I7" s="264">
        <v>463.62</v>
      </c>
      <c r="J7" s="265" t="s">
        <v>8</v>
      </c>
      <c r="K7" s="264">
        <v>500</v>
      </c>
      <c r="L7" s="265" t="s">
        <v>9</v>
      </c>
    </row>
    <row r="8" spans="1:12" ht="11.25" customHeight="1">
      <c r="A8" s="262" t="s">
        <v>7</v>
      </c>
      <c r="B8" s="84"/>
      <c r="C8" s="266">
        <v>646</v>
      </c>
      <c r="D8" s="243"/>
      <c r="E8" s="266">
        <v>543</v>
      </c>
      <c r="F8" s="243"/>
      <c r="G8" s="266">
        <v>696</v>
      </c>
      <c r="H8" s="243"/>
      <c r="I8" s="266">
        <v>440</v>
      </c>
      <c r="J8" s="243"/>
      <c r="K8" s="266">
        <v>500</v>
      </c>
      <c r="L8" s="243"/>
    </row>
    <row r="9" spans="1:12" ht="11.25" customHeight="1">
      <c r="A9" s="262" t="s">
        <v>224</v>
      </c>
      <c r="B9" s="84"/>
      <c r="C9" s="266">
        <v>5441</v>
      </c>
      <c r="D9" s="243"/>
      <c r="E9" s="266">
        <v>4014</v>
      </c>
      <c r="F9" s="243"/>
      <c r="G9" s="266">
        <v>5138</v>
      </c>
      <c r="H9" s="243"/>
      <c r="I9" s="266">
        <v>5655</v>
      </c>
      <c r="J9" s="243"/>
      <c r="K9" s="266">
        <v>4995</v>
      </c>
      <c r="L9" s="243"/>
    </row>
    <row r="10" spans="1:12" ht="11.25" customHeight="1">
      <c r="A10" s="262" t="s">
        <v>10</v>
      </c>
      <c r="B10" s="84"/>
      <c r="C10" s="266">
        <v>7724</v>
      </c>
      <c r="D10" s="243"/>
      <c r="E10" s="266">
        <v>6135</v>
      </c>
      <c r="F10" s="243"/>
      <c r="G10" s="266">
        <v>7140</v>
      </c>
      <c r="H10" s="243"/>
      <c r="I10" s="266">
        <v>6538</v>
      </c>
      <c r="J10" s="243"/>
      <c r="K10" s="266">
        <v>4894</v>
      </c>
      <c r="L10" s="243"/>
    </row>
    <row r="11" spans="1:12" ht="11.25" customHeight="1">
      <c r="A11" s="262" t="s">
        <v>11</v>
      </c>
      <c r="B11" s="84"/>
      <c r="C11" s="266">
        <v>7594</v>
      </c>
      <c r="D11" s="243"/>
      <c r="E11" s="266">
        <v>5662</v>
      </c>
      <c r="F11" s="243"/>
      <c r="G11" s="266">
        <v>7206</v>
      </c>
      <c r="H11" s="243"/>
      <c r="I11" s="266">
        <v>7474.05</v>
      </c>
      <c r="J11" s="243"/>
      <c r="K11" s="266">
        <v>7420.674</v>
      </c>
      <c r="L11" s="243"/>
    </row>
    <row r="12" spans="1:12" ht="11.25" customHeight="1">
      <c r="A12" s="262" t="s">
        <v>80</v>
      </c>
      <c r="B12" s="84"/>
      <c r="C12" s="266">
        <v>74.8</v>
      </c>
      <c r="D12" s="243"/>
      <c r="E12" s="266">
        <v>78.873999999999995</v>
      </c>
      <c r="F12" s="243"/>
      <c r="G12" s="267">
        <v>129.124</v>
      </c>
      <c r="H12" s="243"/>
      <c r="I12" s="267">
        <v>231.6</v>
      </c>
      <c r="J12" s="243" t="s">
        <v>8</v>
      </c>
      <c r="K12" s="267">
        <v>235</v>
      </c>
      <c r="L12" s="243" t="s">
        <v>9</v>
      </c>
    </row>
    <row r="13" spans="1:12" ht="11.25" customHeight="1">
      <c r="A13" s="262" t="s">
        <v>312</v>
      </c>
      <c r="B13" s="84"/>
      <c r="C13" s="266">
        <v>2660</v>
      </c>
      <c r="D13" s="243"/>
      <c r="E13" s="266">
        <v>2448.8000000000002</v>
      </c>
      <c r="F13" s="243"/>
      <c r="G13" s="267">
        <v>2671.6</v>
      </c>
      <c r="H13" s="243"/>
      <c r="I13" s="267">
        <v>2779</v>
      </c>
      <c r="J13" s="243" t="s">
        <v>8</v>
      </c>
      <c r="K13" s="267">
        <v>2750</v>
      </c>
      <c r="L13" s="243" t="s">
        <v>9</v>
      </c>
    </row>
    <row r="14" spans="1:12" ht="11.25" customHeight="1">
      <c r="A14" s="262" t="s">
        <v>261</v>
      </c>
      <c r="B14" s="84"/>
      <c r="C14" s="266">
        <v>10676</v>
      </c>
      <c r="D14" s="243"/>
      <c r="E14" s="266">
        <v>5636</v>
      </c>
      <c r="F14" s="243"/>
      <c r="G14" s="266">
        <v>7973</v>
      </c>
      <c r="H14" s="243" t="s">
        <v>8</v>
      </c>
      <c r="I14" s="266">
        <v>8026</v>
      </c>
      <c r="J14" s="243" t="s">
        <v>8</v>
      </c>
      <c r="K14" s="266">
        <v>7386</v>
      </c>
      <c r="L14" s="243"/>
    </row>
    <row r="15" spans="1:12" ht="11.25" customHeight="1">
      <c r="A15" s="268" t="s">
        <v>501</v>
      </c>
      <c r="B15" s="84"/>
      <c r="C15" s="266">
        <v>608</v>
      </c>
      <c r="D15" s="243"/>
      <c r="E15" s="266">
        <v>519</v>
      </c>
      <c r="F15" s="242"/>
      <c r="G15" s="266">
        <v>590.75699999999995</v>
      </c>
      <c r="H15" s="243"/>
      <c r="I15" s="266">
        <v>648.55999999999995</v>
      </c>
      <c r="J15" s="242"/>
      <c r="K15" s="266">
        <v>700.34100000000001</v>
      </c>
      <c r="L15" s="242"/>
    </row>
    <row r="16" spans="1:12" ht="11.25" customHeight="1">
      <c r="A16" s="262" t="s">
        <v>502</v>
      </c>
      <c r="B16" s="84"/>
      <c r="C16" s="266">
        <v>33726</v>
      </c>
      <c r="D16" s="243"/>
      <c r="E16" s="266">
        <v>26506</v>
      </c>
      <c r="F16" s="243"/>
      <c r="G16" s="266">
        <v>33033</v>
      </c>
      <c r="H16" s="243" t="s">
        <v>8</v>
      </c>
      <c r="I16" s="266">
        <v>35200</v>
      </c>
      <c r="J16" s="243" t="s">
        <v>8</v>
      </c>
      <c r="K16" s="266">
        <v>35000</v>
      </c>
      <c r="L16" s="243" t="s">
        <v>9</v>
      </c>
    </row>
    <row r="17" spans="1:12" ht="11.25" customHeight="1">
      <c r="A17" s="262" t="s">
        <v>16</v>
      </c>
      <c r="B17" s="84"/>
      <c r="C17" s="266">
        <v>1330</v>
      </c>
      <c r="D17" s="243"/>
      <c r="E17" s="266">
        <v>726</v>
      </c>
      <c r="F17" s="243"/>
      <c r="G17" s="266">
        <v>740</v>
      </c>
      <c r="H17" s="243"/>
      <c r="I17" s="266">
        <v>834</v>
      </c>
      <c r="J17" s="243"/>
      <c r="K17" s="266">
        <v>633</v>
      </c>
      <c r="L17" s="243"/>
    </row>
    <row r="18" spans="1:12" ht="11.25" customHeight="1">
      <c r="A18" s="262" t="s">
        <v>314</v>
      </c>
      <c r="B18" s="84"/>
      <c r="C18" s="266">
        <v>25</v>
      </c>
      <c r="D18" s="242"/>
      <c r="E18" s="266">
        <v>25</v>
      </c>
      <c r="F18" s="242"/>
      <c r="G18" s="266">
        <v>25</v>
      </c>
      <c r="H18" s="242"/>
      <c r="I18" s="266">
        <v>25</v>
      </c>
      <c r="J18" s="242"/>
      <c r="K18" s="266">
        <v>25</v>
      </c>
      <c r="L18" s="242"/>
    </row>
    <row r="19" spans="1:12" ht="11.25" customHeight="1">
      <c r="A19" s="262" t="s">
        <v>226</v>
      </c>
      <c r="B19" s="84"/>
      <c r="C19" s="266">
        <v>14845</v>
      </c>
      <c r="D19" s="243"/>
      <c r="E19" s="266">
        <v>9245</v>
      </c>
      <c r="F19" s="243"/>
      <c r="G19" s="266">
        <v>13003</v>
      </c>
      <c r="H19" s="243"/>
      <c r="I19" s="266">
        <v>12890.754000000001</v>
      </c>
      <c r="J19" s="243" t="s">
        <v>8</v>
      </c>
      <c r="K19" s="266">
        <v>13507.124</v>
      </c>
      <c r="L19" s="243" t="s">
        <v>17</v>
      </c>
    </row>
    <row r="20" spans="1:12" ht="11.25" customHeight="1">
      <c r="A20" s="262" t="s">
        <v>503</v>
      </c>
      <c r="B20" s="84"/>
      <c r="C20" s="266">
        <v>1523</v>
      </c>
      <c r="D20" s="243"/>
      <c r="E20" s="266">
        <v>1308</v>
      </c>
      <c r="F20" s="243"/>
      <c r="G20" s="266">
        <v>1011</v>
      </c>
      <c r="H20" s="243"/>
      <c r="I20" s="266">
        <v>1615</v>
      </c>
      <c r="J20" s="243" t="s">
        <v>8</v>
      </c>
      <c r="K20" s="266">
        <v>1683</v>
      </c>
      <c r="L20" s="243"/>
    </row>
    <row r="21" spans="1:12" ht="11.25" customHeight="1">
      <c r="A21" s="262" t="s">
        <v>504</v>
      </c>
      <c r="B21" s="84"/>
      <c r="C21" s="266">
        <v>500490</v>
      </c>
      <c r="D21" s="243"/>
      <c r="E21" s="266">
        <v>572180</v>
      </c>
      <c r="F21" s="243"/>
      <c r="G21" s="266">
        <v>637230</v>
      </c>
      <c r="H21" s="243"/>
      <c r="I21" s="266">
        <v>685280</v>
      </c>
      <c r="J21" s="243" t="s">
        <v>8</v>
      </c>
      <c r="K21" s="266">
        <v>716540</v>
      </c>
      <c r="L21" s="243"/>
    </row>
    <row r="22" spans="1:12" ht="11.25" customHeight="1">
      <c r="A22" s="262" t="s">
        <v>20</v>
      </c>
      <c r="B22" s="84"/>
      <c r="C22" s="266">
        <v>1053</v>
      </c>
      <c r="D22" s="243"/>
      <c r="E22" s="266">
        <v>1079</v>
      </c>
      <c r="F22" s="243"/>
      <c r="G22" s="266">
        <v>1209</v>
      </c>
      <c r="H22" s="243"/>
      <c r="I22" s="266">
        <v>1290</v>
      </c>
      <c r="J22" s="243"/>
      <c r="K22" s="266">
        <v>1324</v>
      </c>
      <c r="L22" s="243"/>
    </row>
    <row r="23" spans="1:12" ht="11.25" customHeight="1">
      <c r="A23" s="262" t="s">
        <v>505</v>
      </c>
      <c r="B23" s="84"/>
      <c r="C23" s="266">
        <v>121.759</v>
      </c>
      <c r="D23" s="243" t="s">
        <v>506</v>
      </c>
      <c r="E23" s="266">
        <v>51.582999999999998</v>
      </c>
      <c r="F23" s="243" t="s">
        <v>506</v>
      </c>
      <c r="G23" s="266">
        <v>110</v>
      </c>
      <c r="H23" s="243"/>
      <c r="I23" s="266">
        <v>100</v>
      </c>
      <c r="J23" s="243"/>
      <c r="K23" s="266">
        <v>100</v>
      </c>
      <c r="L23" s="243"/>
    </row>
    <row r="24" spans="1:12" ht="11.25" customHeight="1">
      <c r="A24" s="262" t="s">
        <v>507</v>
      </c>
      <c r="B24" s="84"/>
      <c r="C24" s="266">
        <v>273.8</v>
      </c>
      <c r="D24" s="243" t="s">
        <v>506</v>
      </c>
      <c r="E24" s="266">
        <v>274</v>
      </c>
      <c r="F24" s="243"/>
      <c r="G24" s="266">
        <v>265</v>
      </c>
      <c r="H24" s="243"/>
      <c r="I24" s="266">
        <v>290</v>
      </c>
      <c r="J24" s="243"/>
      <c r="K24" s="266">
        <v>317</v>
      </c>
      <c r="L24" s="243"/>
    </row>
    <row r="25" spans="1:12" ht="11.25" customHeight="1">
      <c r="A25" s="262" t="s">
        <v>319</v>
      </c>
      <c r="B25" s="84"/>
      <c r="C25" s="266">
        <v>6387</v>
      </c>
      <c r="D25" s="242"/>
      <c r="E25" s="266">
        <v>4594</v>
      </c>
      <c r="F25" s="242"/>
      <c r="G25" s="266">
        <v>5180</v>
      </c>
      <c r="H25" s="242"/>
      <c r="I25" s="266">
        <v>5582.5379999999996</v>
      </c>
      <c r="J25" s="242"/>
      <c r="K25" s="266">
        <v>5072.0749999999998</v>
      </c>
      <c r="L25" s="242"/>
    </row>
    <row r="26" spans="1:12" ht="11.25" customHeight="1">
      <c r="A26" s="262" t="s">
        <v>322</v>
      </c>
      <c r="B26" s="84"/>
      <c r="C26" s="266">
        <v>128</v>
      </c>
      <c r="D26" s="243"/>
      <c r="E26" s="266">
        <v>259</v>
      </c>
      <c r="F26" s="243"/>
      <c r="G26" s="266">
        <v>368</v>
      </c>
      <c r="H26" s="243"/>
      <c r="I26" s="266">
        <v>525</v>
      </c>
      <c r="J26" s="243"/>
      <c r="K26" s="266">
        <v>479</v>
      </c>
      <c r="L26" s="243"/>
    </row>
    <row r="27" spans="1:12" ht="11.25" customHeight="1">
      <c r="A27" s="262" t="s">
        <v>21</v>
      </c>
      <c r="B27" s="84"/>
      <c r="C27" s="266">
        <v>6198</v>
      </c>
      <c r="D27" s="243"/>
      <c r="E27" s="266">
        <v>5508</v>
      </c>
      <c r="F27" s="243"/>
      <c r="G27" s="266">
        <v>6700</v>
      </c>
      <c r="H27" s="243"/>
      <c r="I27" s="266">
        <v>6486</v>
      </c>
      <c r="J27" s="243"/>
      <c r="K27" s="266">
        <v>6600</v>
      </c>
      <c r="L27" s="243"/>
    </row>
    <row r="28" spans="1:12" ht="11.25" customHeight="1">
      <c r="A28" s="262" t="s">
        <v>323</v>
      </c>
      <c r="B28" s="84"/>
      <c r="C28" s="266">
        <v>71</v>
      </c>
      <c r="D28" s="243"/>
      <c r="E28" s="266">
        <v>56</v>
      </c>
      <c r="F28" s="243"/>
      <c r="G28" s="266">
        <v>51</v>
      </c>
      <c r="H28" s="243"/>
      <c r="I28" s="266">
        <v>100</v>
      </c>
      <c r="J28" s="243"/>
      <c r="K28" s="266">
        <v>92</v>
      </c>
      <c r="L28" s="243"/>
    </row>
    <row r="29" spans="1:12" ht="12" customHeight="1">
      <c r="A29" s="262" t="s">
        <v>508</v>
      </c>
      <c r="B29" s="84"/>
      <c r="C29" s="266">
        <v>150</v>
      </c>
      <c r="D29" s="243"/>
      <c r="E29" s="266">
        <v>150</v>
      </c>
      <c r="F29" s="243"/>
      <c r="G29" s="266">
        <v>150</v>
      </c>
      <c r="H29" s="243"/>
      <c r="I29" s="266">
        <v>130</v>
      </c>
      <c r="J29" s="243"/>
      <c r="K29" s="266">
        <v>130</v>
      </c>
      <c r="L29" s="243"/>
    </row>
    <row r="30" spans="1:12" ht="11.25" customHeight="1">
      <c r="A30" s="262" t="s">
        <v>267</v>
      </c>
      <c r="B30" s="84"/>
      <c r="C30" s="266">
        <v>4418</v>
      </c>
      <c r="D30" s="243"/>
      <c r="E30" s="266">
        <v>3078</v>
      </c>
      <c r="F30" s="243"/>
      <c r="G30" s="266">
        <v>4029</v>
      </c>
      <c r="H30" s="243" t="s">
        <v>8</v>
      </c>
      <c r="I30" s="266">
        <v>3989</v>
      </c>
      <c r="J30" s="243" t="s">
        <v>8</v>
      </c>
      <c r="K30" s="266">
        <v>3759</v>
      </c>
      <c r="L30" s="243"/>
    </row>
    <row r="31" spans="1:12" ht="11.25" customHeight="1">
      <c r="A31" s="262" t="s">
        <v>268</v>
      </c>
      <c r="B31" s="84"/>
      <c r="C31" s="266">
        <v>17874</v>
      </c>
      <c r="D31" s="243"/>
      <c r="E31" s="266">
        <v>12836</v>
      </c>
      <c r="F31" s="243"/>
      <c r="G31" s="266">
        <v>15416</v>
      </c>
      <c r="H31" s="243"/>
      <c r="I31" s="266">
        <v>15800</v>
      </c>
      <c r="J31" s="243"/>
      <c r="K31" s="266">
        <v>15607</v>
      </c>
      <c r="L31" s="243"/>
    </row>
    <row r="32" spans="1:12" ht="11.25" customHeight="1">
      <c r="A32" s="262" t="s">
        <v>22</v>
      </c>
      <c r="B32" s="84"/>
      <c r="C32" s="266">
        <v>45833</v>
      </c>
      <c r="D32" s="243"/>
      <c r="E32" s="266">
        <v>32671</v>
      </c>
      <c r="F32" s="243"/>
      <c r="G32" s="266">
        <v>43830</v>
      </c>
      <c r="H32" s="243"/>
      <c r="I32" s="266">
        <v>44284</v>
      </c>
      <c r="J32" s="243" t="s">
        <v>8</v>
      </c>
      <c r="K32" s="266">
        <v>42661</v>
      </c>
      <c r="L32" s="243"/>
    </row>
    <row r="33" spans="1:12" ht="11.25" customHeight="1">
      <c r="A33" s="262" t="s">
        <v>326</v>
      </c>
      <c r="B33" s="84"/>
      <c r="C33" s="266">
        <v>2400</v>
      </c>
      <c r="D33" s="243"/>
      <c r="E33" s="266">
        <v>2082</v>
      </c>
      <c r="F33" s="243"/>
      <c r="G33" s="266">
        <v>2100</v>
      </c>
      <c r="H33" s="243"/>
      <c r="I33" s="266">
        <v>2000</v>
      </c>
      <c r="J33" s="243" t="s">
        <v>9</v>
      </c>
      <c r="K33" s="266">
        <v>1800</v>
      </c>
      <c r="L33" s="243"/>
    </row>
    <row r="34" spans="1:12" ht="11.25" customHeight="1">
      <c r="A34" s="262" t="s">
        <v>23</v>
      </c>
      <c r="B34" s="84"/>
      <c r="C34" s="266">
        <v>250</v>
      </c>
      <c r="D34" s="243"/>
      <c r="E34" s="266">
        <v>224</v>
      </c>
      <c r="F34" s="243"/>
      <c r="G34" s="266">
        <v>272</v>
      </c>
      <c r="H34" s="243"/>
      <c r="I34" s="266">
        <v>445</v>
      </c>
      <c r="J34" s="243"/>
      <c r="K34" s="266">
        <v>301</v>
      </c>
      <c r="L34" s="243"/>
    </row>
    <row r="35" spans="1:12" ht="12" customHeight="1">
      <c r="A35" s="262" t="s">
        <v>327</v>
      </c>
      <c r="B35" s="84"/>
      <c r="C35" s="266">
        <v>550</v>
      </c>
      <c r="D35" s="242"/>
      <c r="E35" s="266">
        <v>550</v>
      </c>
      <c r="F35" s="242"/>
      <c r="G35" s="266">
        <v>500</v>
      </c>
      <c r="H35" s="242"/>
      <c r="I35" s="266">
        <v>200</v>
      </c>
      <c r="J35" s="242"/>
      <c r="K35" s="266" t="s">
        <v>12</v>
      </c>
      <c r="L35" s="242"/>
    </row>
    <row r="36" spans="1:12" ht="11.25" customHeight="1">
      <c r="A36" s="262" t="s">
        <v>328</v>
      </c>
      <c r="B36" s="84"/>
      <c r="C36" s="266">
        <v>2097</v>
      </c>
      <c r="D36" s="243"/>
      <c r="E36" s="266">
        <v>1403</v>
      </c>
      <c r="F36" s="243"/>
      <c r="G36" s="266">
        <v>1678</v>
      </c>
      <c r="H36" s="243"/>
      <c r="I36" s="266">
        <v>1746</v>
      </c>
      <c r="J36" s="243" t="s">
        <v>8</v>
      </c>
      <c r="K36" s="266">
        <v>1543</v>
      </c>
      <c r="L36" s="243"/>
    </row>
    <row r="37" spans="1:12" ht="11.25" customHeight="1">
      <c r="A37" s="262" t="s">
        <v>24</v>
      </c>
      <c r="B37" s="84"/>
      <c r="C37" s="266">
        <v>57800</v>
      </c>
      <c r="D37" s="243"/>
      <c r="E37" s="266">
        <v>63500</v>
      </c>
      <c r="F37" s="243"/>
      <c r="G37" s="266">
        <v>68300</v>
      </c>
      <c r="H37" s="243"/>
      <c r="I37" s="266">
        <v>73500</v>
      </c>
      <c r="J37" s="243" t="s">
        <v>8</v>
      </c>
      <c r="K37" s="266">
        <v>77600</v>
      </c>
      <c r="L37" s="243"/>
    </row>
    <row r="38" spans="1:12" ht="11.25" customHeight="1">
      <c r="A38" s="262" t="s">
        <v>25</v>
      </c>
      <c r="B38" s="84"/>
      <c r="C38" s="266">
        <v>3915</v>
      </c>
      <c r="D38" s="243"/>
      <c r="E38" s="266">
        <v>3500</v>
      </c>
      <c r="F38" s="243" t="s">
        <v>9</v>
      </c>
      <c r="G38" s="266">
        <v>3700</v>
      </c>
      <c r="H38" s="243"/>
      <c r="I38" s="266">
        <v>3600</v>
      </c>
      <c r="J38" s="243" t="s">
        <v>8</v>
      </c>
      <c r="K38" s="266">
        <v>3700</v>
      </c>
      <c r="L38" s="243"/>
    </row>
    <row r="39" spans="1:12" ht="11.25" customHeight="1">
      <c r="A39" s="262" t="s">
        <v>509</v>
      </c>
      <c r="B39" s="84"/>
      <c r="C39" s="266">
        <v>9960</v>
      </c>
      <c r="D39" s="243" t="s">
        <v>506</v>
      </c>
      <c r="E39" s="266">
        <v>10000</v>
      </c>
      <c r="F39" s="243"/>
      <c r="G39" s="266">
        <v>12000</v>
      </c>
      <c r="H39" s="243"/>
      <c r="I39" s="266">
        <v>13000</v>
      </c>
      <c r="J39" s="243"/>
      <c r="K39" s="266">
        <v>14500</v>
      </c>
      <c r="L39" s="243"/>
    </row>
    <row r="40" spans="1:12" ht="11.25" customHeight="1">
      <c r="A40" s="262" t="s">
        <v>331</v>
      </c>
      <c r="B40" s="84"/>
      <c r="C40" s="266">
        <v>480</v>
      </c>
      <c r="D40" s="242"/>
      <c r="E40" s="266">
        <v>380</v>
      </c>
      <c r="F40" s="243"/>
      <c r="G40" s="266">
        <v>430</v>
      </c>
      <c r="H40" s="243"/>
      <c r="I40" s="266">
        <v>430</v>
      </c>
      <c r="J40" s="243" t="s">
        <v>8</v>
      </c>
      <c r="K40" s="266">
        <v>430</v>
      </c>
      <c r="L40" s="243"/>
    </row>
    <row r="41" spans="1:12" ht="11.25" customHeight="1">
      <c r="A41" s="262" t="s">
        <v>272</v>
      </c>
      <c r="B41" s="84"/>
      <c r="C41" s="266">
        <v>30477</v>
      </c>
      <c r="D41" s="243"/>
      <c r="E41" s="266">
        <v>19737</v>
      </c>
      <c r="F41" s="243"/>
      <c r="G41" s="266">
        <v>25751</v>
      </c>
      <c r="H41" s="243"/>
      <c r="I41" s="266">
        <v>28700</v>
      </c>
      <c r="J41" s="243"/>
      <c r="K41" s="266">
        <v>27227</v>
      </c>
      <c r="L41" s="243"/>
    </row>
    <row r="42" spans="1:12" ht="11.25" customHeight="1">
      <c r="A42" s="262" t="s">
        <v>26</v>
      </c>
      <c r="B42" s="84"/>
      <c r="C42" s="266">
        <v>118739</v>
      </c>
      <c r="D42" s="243"/>
      <c r="E42" s="266">
        <v>87534</v>
      </c>
      <c r="F42" s="243"/>
      <c r="G42" s="266">
        <v>109599</v>
      </c>
      <c r="H42" s="243"/>
      <c r="I42" s="266">
        <v>107601</v>
      </c>
      <c r="J42" s="243" t="s">
        <v>8</v>
      </c>
      <c r="K42" s="266">
        <v>107232</v>
      </c>
      <c r="L42" s="243"/>
    </row>
    <row r="43" spans="1:12" ht="11.25" customHeight="1">
      <c r="A43" s="262" t="s">
        <v>332</v>
      </c>
      <c r="B43" s="84"/>
      <c r="C43" s="266">
        <v>150</v>
      </c>
      <c r="D43" s="243"/>
      <c r="E43" s="266">
        <v>150</v>
      </c>
      <c r="F43" s="243"/>
      <c r="G43" s="266">
        <v>150</v>
      </c>
      <c r="H43" s="243"/>
      <c r="I43" s="266">
        <v>150</v>
      </c>
      <c r="J43" s="243"/>
      <c r="K43" s="266">
        <v>100</v>
      </c>
      <c r="L43" s="243"/>
    </row>
    <row r="44" spans="1:12" ht="11.25" customHeight="1">
      <c r="A44" s="262" t="s">
        <v>28</v>
      </c>
      <c r="B44" s="84"/>
      <c r="C44" s="266">
        <v>4243.5820000000003</v>
      </c>
      <c r="D44" s="243"/>
      <c r="E44" s="266">
        <v>3324</v>
      </c>
      <c r="F44" s="243" t="s">
        <v>8</v>
      </c>
      <c r="G44" s="266">
        <v>3338</v>
      </c>
      <c r="H44" s="243" t="s">
        <v>8</v>
      </c>
      <c r="I44" s="266">
        <v>3699</v>
      </c>
      <c r="J44" s="243" t="s">
        <v>8</v>
      </c>
      <c r="K44" s="266">
        <v>2606.5</v>
      </c>
      <c r="L44" s="243"/>
    </row>
    <row r="45" spans="1:12" ht="12" customHeight="1">
      <c r="A45" s="262" t="s">
        <v>101</v>
      </c>
      <c r="B45" s="84"/>
      <c r="C45" s="266">
        <v>240</v>
      </c>
      <c r="D45" s="243"/>
      <c r="E45" s="266">
        <v>260</v>
      </c>
      <c r="F45" s="243"/>
      <c r="G45" s="266">
        <v>260</v>
      </c>
      <c r="H45" s="243"/>
      <c r="I45" s="266">
        <v>290</v>
      </c>
      <c r="J45" s="243"/>
      <c r="K45" s="266">
        <v>290</v>
      </c>
      <c r="L45" s="243"/>
    </row>
    <row r="46" spans="1:12" ht="11.25" customHeight="1">
      <c r="A46" s="262" t="s">
        <v>30</v>
      </c>
      <c r="B46" s="84"/>
      <c r="C46" s="266">
        <v>1279</v>
      </c>
      <c r="D46" s="243" t="s">
        <v>506</v>
      </c>
      <c r="E46" s="266">
        <v>1300</v>
      </c>
      <c r="F46" s="243"/>
      <c r="G46" s="266">
        <v>1300</v>
      </c>
      <c r="H46" s="243"/>
      <c r="I46" s="266">
        <v>1300</v>
      </c>
      <c r="J46" s="243"/>
      <c r="K46" s="266">
        <v>1300</v>
      </c>
      <c r="L46" s="243"/>
    </row>
    <row r="47" spans="1:12" ht="11.25" customHeight="1">
      <c r="A47" s="262" t="s">
        <v>31</v>
      </c>
      <c r="B47" s="84"/>
      <c r="C47" s="266">
        <v>53322</v>
      </c>
      <c r="D47" s="243"/>
      <c r="E47" s="266">
        <v>48752</v>
      </c>
      <c r="F47" s="243"/>
      <c r="G47" s="266">
        <v>58914.125</v>
      </c>
      <c r="H47" s="243"/>
      <c r="I47" s="266">
        <v>68519.191000000006</v>
      </c>
      <c r="J47" s="243"/>
      <c r="K47" s="266">
        <v>70000</v>
      </c>
      <c r="L47" s="243" t="s">
        <v>9</v>
      </c>
    </row>
    <row r="48" spans="1:12" ht="11.25" customHeight="1">
      <c r="A48" s="262" t="s">
        <v>510</v>
      </c>
      <c r="B48" s="84"/>
      <c r="C48" s="266">
        <v>635</v>
      </c>
      <c r="D48" s="243" t="s">
        <v>8</v>
      </c>
      <c r="E48" s="266">
        <v>692</v>
      </c>
      <c r="F48" s="243" t="s">
        <v>8</v>
      </c>
      <c r="G48" s="266">
        <v>655</v>
      </c>
      <c r="H48" s="243" t="s">
        <v>8</v>
      </c>
      <c r="I48" s="266">
        <v>515</v>
      </c>
      <c r="J48" s="243" t="s">
        <v>8</v>
      </c>
      <c r="K48" s="266">
        <v>800</v>
      </c>
      <c r="L48" s="243"/>
    </row>
    <row r="49" spans="1:12" ht="11.25" customHeight="1">
      <c r="A49" s="262" t="s">
        <v>334</v>
      </c>
      <c r="B49" s="84"/>
      <c r="C49" s="266">
        <v>1137</v>
      </c>
      <c r="D49" s="243"/>
      <c r="E49" s="266">
        <v>914</v>
      </c>
      <c r="F49" s="243"/>
      <c r="G49" s="266">
        <v>825</v>
      </c>
      <c r="H49" s="243"/>
      <c r="I49" s="266">
        <v>100</v>
      </c>
      <c r="J49" s="243"/>
      <c r="K49" s="266">
        <v>300</v>
      </c>
      <c r="L49" s="243"/>
    </row>
    <row r="50" spans="1:12" ht="11.25" customHeight="1">
      <c r="A50" s="262" t="s">
        <v>335</v>
      </c>
      <c r="B50" s="84"/>
      <c r="C50" s="266">
        <v>2582</v>
      </c>
      <c r="D50" s="243"/>
      <c r="E50" s="266">
        <v>2215</v>
      </c>
      <c r="F50" s="243"/>
      <c r="G50" s="266">
        <v>2563</v>
      </c>
      <c r="H50" s="243"/>
      <c r="I50" s="266">
        <v>2521</v>
      </c>
      <c r="J50" s="243" t="s">
        <v>8</v>
      </c>
      <c r="K50" s="266">
        <v>2232</v>
      </c>
      <c r="L50" s="243"/>
    </row>
    <row r="51" spans="1:12" ht="11.25" customHeight="1">
      <c r="A51" s="262" t="s">
        <v>336</v>
      </c>
      <c r="B51" s="84"/>
      <c r="C51" s="266">
        <v>252.46100000000001</v>
      </c>
      <c r="D51" s="243"/>
      <c r="E51" s="266">
        <v>276.21499999999997</v>
      </c>
      <c r="F51" s="243"/>
      <c r="G51" s="266">
        <v>291</v>
      </c>
      <c r="H51" s="243"/>
      <c r="I51" s="266">
        <v>386</v>
      </c>
      <c r="J51" s="243"/>
      <c r="K51" s="266">
        <v>217</v>
      </c>
      <c r="L51" s="243"/>
    </row>
    <row r="52" spans="1:12" ht="11.25" customHeight="1">
      <c r="A52" s="262" t="s">
        <v>32</v>
      </c>
      <c r="B52" s="84"/>
      <c r="C52" s="266">
        <v>6423</v>
      </c>
      <c r="D52" s="243"/>
      <c r="E52" s="266">
        <v>5354</v>
      </c>
      <c r="F52" s="243"/>
      <c r="G52" s="266">
        <v>5693</v>
      </c>
      <c r="H52" s="243"/>
      <c r="I52" s="266">
        <v>5941</v>
      </c>
      <c r="J52" s="243" t="s">
        <v>8</v>
      </c>
      <c r="K52" s="266">
        <v>6000</v>
      </c>
      <c r="L52" s="243" t="s">
        <v>9</v>
      </c>
    </row>
    <row r="53" spans="1:12" ht="11.25" customHeight="1">
      <c r="A53" s="262" t="s">
        <v>511</v>
      </c>
      <c r="B53" s="84"/>
      <c r="C53" s="266">
        <v>1.5980000000000001</v>
      </c>
      <c r="D53" s="243" t="s">
        <v>506</v>
      </c>
      <c r="E53" s="266">
        <v>1.5</v>
      </c>
      <c r="F53" s="243"/>
      <c r="G53" s="266">
        <v>1.5</v>
      </c>
      <c r="H53" s="243"/>
      <c r="I53" s="266">
        <v>1.5</v>
      </c>
      <c r="J53" s="243"/>
      <c r="K53" s="266">
        <v>1.5</v>
      </c>
      <c r="L53" s="243"/>
    </row>
    <row r="54" spans="1:12" ht="11.25" customHeight="1">
      <c r="A54" s="262" t="s">
        <v>234</v>
      </c>
      <c r="B54" s="84"/>
      <c r="C54" s="266">
        <v>17209</v>
      </c>
      <c r="D54" s="243"/>
      <c r="E54" s="266">
        <v>14172</v>
      </c>
      <c r="F54" s="243"/>
      <c r="G54" s="266">
        <v>17041</v>
      </c>
      <c r="H54" s="243"/>
      <c r="I54" s="266">
        <v>18100</v>
      </c>
      <c r="J54" s="243"/>
      <c r="K54" s="266">
        <v>18178</v>
      </c>
      <c r="L54" s="243"/>
    </row>
    <row r="55" spans="1:12" ht="11.25" customHeight="1">
      <c r="A55" s="262" t="s">
        <v>337</v>
      </c>
      <c r="B55" s="84"/>
      <c r="C55" s="266">
        <v>885</v>
      </c>
      <c r="D55" s="242"/>
      <c r="E55" s="266">
        <v>425.9</v>
      </c>
      <c r="F55" s="243"/>
      <c r="G55" s="266">
        <v>241.5</v>
      </c>
      <c r="H55" s="243"/>
      <c r="I55" s="266">
        <v>320.60000000000002</v>
      </c>
      <c r="J55" s="243"/>
      <c r="K55" s="266">
        <v>316.68200000000002</v>
      </c>
      <c r="L55" s="243"/>
    </row>
    <row r="56" spans="1:12" ht="11.25" customHeight="1">
      <c r="A56" s="262" t="s">
        <v>438</v>
      </c>
      <c r="B56" s="84"/>
      <c r="C56" s="266">
        <v>201.62299999999999</v>
      </c>
      <c r="D56" s="243" t="s">
        <v>8</v>
      </c>
      <c r="E56" s="266">
        <v>90.403999999999996</v>
      </c>
      <c r="F56" s="243"/>
      <c r="G56" s="266">
        <v>95</v>
      </c>
      <c r="H56" s="243" t="s">
        <v>9</v>
      </c>
      <c r="I56" s="266">
        <v>42.271000000000001</v>
      </c>
      <c r="J56" s="243" t="s">
        <v>8</v>
      </c>
      <c r="K56" s="266">
        <v>100</v>
      </c>
      <c r="L56" s="243" t="s">
        <v>9</v>
      </c>
    </row>
    <row r="57" spans="1:12" ht="11.25" customHeight="1">
      <c r="A57" s="262" t="s">
        <v>34</v>
      </c>
      <c r="B57" s="84"/>
      <c r="C57" s="266">
        <v>478</v>
      </c>
      <c r="D57" s="243"/>
      <c r="E57" s="266">
        <v>479</v>
      </c>
      <c r="F57" s="243" t="s">
        <v>8</v>
      </c>
      <c r="G57" s="266">
        <v>455</v>
      </c>
      <c r="H57" s="243" t="s">
        <v>8</v>
      </c>
      <c r="I57" s="266">
        <v>460</v>
      </c>
      <c r="J57" s="243" t="s">
        <v>8</v>
      </c>
      <c r="K57" s="266">
        <v>475</v>
      </c>
      <c r="L57" s="243"/>
    </row>
    <row r="58" spans="1:12" ht="11.25" customHeight="1">
      <c r="A58" s="262" t="s">
        <v>339</v>
      </c>
      <c r="B58" s="84"/>
      <c r="C58" s="266">
        <v>6853</v>
      </c>
      <c r="D58" s="243"/>
      <c r="E58" s="266">
        <v>5194</v>
      </c>
      <c r="F58" s="243"/>
      <c r="G58" s="266">
        <v>6651</v>
      </c>
      <c r="H58" s="243"/>
      <c r="I58" s="266">
        <v>6900</v>
      </c>
      <c r="J58" s="243"/>
      <c r="K58" s="266">
        <v>6867</v>
      </c>
      <c r="L58" s="243"/>
    </row>
    <row r="59" spans="1:12" ht="11.25" customHeight="1">
      <c r="A59" s="262" t="s">
        <v>277</v>
      </c>
      <c r="B59" s="84"/>
      <c r="C59" s="266">
        <v>853</v>
      </c>
      <c r="D59" s="242"/>
      <c r="E59" s="266">
        <v>765</v>
      </c>
      <c r="F59" s="243"/>
      <c r="G59" s="266">
        <v>853</v>
      </c>
      <c r="H59" s="243"/>
      <c r="I59" s="266">
        <v>844</v>
      </c>
      <c r="J59" s="243"/>
      <c r="K59" s="266">
        <v>912</v>
      </c>
      <c r="L59" s="243"/>
    </row>
    <row r="60" spans="1:12" ht="11.25" customHeight="1">
      <c r="A60" s="262" t="s">
        <v>35</v>
      </c>
      <c r="B60" s="84"/>
      <c r="C60" s="266">
        <v>560</v>
      </c>
      <c r="D60" s="243" t="s">
        <v>8</v>
      </c>
      <c r="E60" s="266">
        <v>579</v>
      </c>
      <c r="F60" s="243" t="s">
        <v>8</v>
      </c>
      <c r="G60" s="266">
        <v>514</v>
      </c>
      <c r="H60" s="243" t="s">
        <v>8</v>
      </c>
      <c r="I60" s="266">
        <v>620</v>
      </c>
      <c r="J60" s="243" t="s">
        <v>8</v>
      </c>
      <c r="K60" s="266">
        <v>590</v>
      </c>
      <c r="L60" s="243"/>
    </row>
    <row r="61" spans="1:12" ht="11.25" customHeight="1">
      <c r="A61" s="262" t="s">
        <v>279</v>
      </c>
      <c r="B61" s="84"/>
      <c r="C61" s="266">
        <v>1100</v>
      </c>
      <c r="D61" s="243" t="s">
        <v>506</v>
      </c>
      <c r="E61" s="266">
        <v>1100</v>
      </c>
      <c r="F61" s="243"/>
      <c r="G61" s="266">
        <v>1100</v>
      </c>
      <c r="H61" s="243"/>
      <c r="I61" s="266">
        <v>1200</v>
      </c>
      <c r="J61" s="243"/>
      <c r="K61" s="266">
        <v>1200</v>
      </c>
      <c r="L61" s="243"/>
    </row>
    <row r="62" spans="1:12" ht="12" customHeight="1">
      <c r="A62" s="262" t="s">
        <v>512</v>
      </c>
      <c r="B62" s="84"/>
      <c r="C62" s="266">
        <v>129.6</v>
      </c>
      <c r="D62" s="243" t="s">
        <v>506</v>
      </c>
      <c r="E62" s="266">
        <v>130</v>
      </c>
      <c r="F62" s="243"/>
      <c r="G62" s="266">
        <v>59</v>
      </c>
      <c r="H62" s="243" t="s">
        <v>8</v>
      </c>
      <c r="I62" s="266">
        <v>30</v>
      </c>
      <c r="J62" s="243" t="s">
        <v>8</v>
      </c>
      <c r="K62" s="266">
        <v>44</v>
      </c>
      <c r="L62" s="243" t="s">
        <v>506</v>
      </c>
    </row>
    <row r="63" spans="1:12" ht="11.25" customHeight="1">
      <c r="A63" s="448" t="s">
        <v>203</v>
      </c>
      <c r="B63" s="449"/>
      <c r="C63" s="449"/>
      <c r="D63" s="449"/>
      <c r="E63" s="449"/>
      <c r="F63" s="449"/>
      <c r="G63" s="449"/>
      <c r="H63" s="449"/>
      <c r="I63" s="449"/>
      <c r="J63" s="449"/>
      <c r="K63" s="449"/>
      <c r="L63" s="449"/>
    </row>
    <row r="64" spans="1:12" ht="11.25" customHeight="1">
      <c r="A64" s="418" t="s">
        <v>437</v>
      </c>
      <c r="B64" s="418"/>
      <c r="C64" s="418"/>
      <c r="D64" s="418"/>
      <c r="E64" s="418"/>
      <c r="F64" s="418"/>
      <c r="G64" s="418"/>
      <c r="H64" s="418"/>
      <c r="I64" s="418"/>
      <c r="J64" s="418"/>
      <c r="K64" s="418"/>
      <c r="L64" s="418"/>
    </row>
    <row r="65" spans="1:12" ht="11.25" customHeight="1">
      <c r="A65" s="418" t="s">
        <v>500</v>
      </c>
      <c r="B65" s="418"/>
      <c r="C65" s="418"/>
      <c r="D65" s="418"/>
      <c r="E65" s="418"/>
      <c r="F65" s="418"/>
      <c r="G65" s="418"/>
      <c r="H65" s="418"/>
      <c r="I65" s="418"/>
      <c r="J65" s="418"/>
      <c r="K65" s="418"/>
      <c r="L65" s="418"/>
    </row>
    <row r="66" spans="1:12" ht="11.25" customHeight="1">
      <c r="A66" s="447"/>
      <c r="B66" s="447"/>
      <c r="C66" s="447"/>
      <c r="D66" s="447"/>
      <c r="E66" s="447"/>
      <c r="F66" s="447"/>
      <c r="G66" s="447"/>
      <c r="H66" s="447"/>
      <c r="I66" s="447"/>
      <c r="J66" s="447"/>
      <c r="K66" s="447"/>
      <c r="L66" s="447"/>
    </row>
    <row r="67" spans="1:12" ht="11.25" customHeight="1">
      <c r="A67" s="418" t="s">
        <v>0</v>
      </c>
      <c r="B67" s="418"/>
      <c r="C67" s="418"/>
      <c r="D67" s="418"/>
      <c r="E67" s="418"/>
      <c r="F67" s="418"/>
      <c r="G67" s="418"/>
      <c r="H67" s="418"/>
      <c r="I67" s="418"/>
      <c r="J67" s="418"/>
      <c r="K67" s="418"/>
      <c r="L67" s="418"/>
    </row>
    <row r="68" spans="1:12" ht="11.25" customHeight="1">
      <c r="A68" s="418"/>
      <c r="B68" s="418"/>
      <c r="C68" s="418"/>
      <c r="D68" s="418"/>
      <c r="E68" s="418"/>
      <c r="F68" s="418"/>
      <c r="G68" s="418"/>
      <c r="H68" s="418"/>
      <c r="I68" s="418"/>
      <c r="J68" s="418"/>
      <c r="K68" s="418"/>
      <c r="L68" s="418"/>
    </row>
    <row r="69" spans="1:12" ht="12.5" customHeight="1">
      <c r="A69" s="257" t="s">
        <v>1</v>
      </c>
      <c r="B69" s="258"/>
      <c r="C69" s="259" t="s">
        <v>95</v>
      </c>
      <c r="D69" s="260"/>
      <c r="E69" s="259" t="s">
        <v>96</v>
      </c>
      <c r="F69" s="260"/>
      <c r="G69" s="259" t="s">
        <v>97</v>
      </c>
      <c r="H69" s="261"/>
      <c r="I69" s="259" t="s">
        <v>98</v>
      </c>
      <c r="J69" s="261"/>
      <c r="K69" s="259" t="s">
        <v>465</v>
      </c>
      <c r="L69" s="261"/>
    </row>
    <row r="70" spans="1:12" ht="11.25" customHeight="1">
      <c r="A70" s="268" t="s">
        <v>513</v>
      </c>
      <c r="B70" s="84"/>
      <c r="C70" s="266">
        <v>750</v>
      </c>
      <c r="D70" s="243" t="s">
        <v>8</v>
      </c>
      <c r="E70" s="266">
        <v>750</v>
      </c>
      <c r="F70" s="243" t="s">
        <v>8</v>
      </c>
      <c r="G70" s="266">
        <v>750</v>
      </c>
      <c r="H70" s="243" t="s">
        <v>8</v>
      </c>
      <c r="I70" s="266">
        <v>750</v>
      </c>
      <c r="J70" s="243" t="s">
        <v>8</v>
      </c>
      <c r="K70" s="266">
        <v>750</v>
      </c>
      <c r="L70" s="243"/>
    </row>
    <row r="71" spans="1:12" ht="11.25" customHeight="1">
      <c r="A71" s="262" t="s">
        <v>237</v>
      </c>
      <c r="B71" s="84"/>
      <c r="C71" s="266">
        <v>711</v>
      </c>
      <c r="D71" s="243"/>
      <c r="E71" s="266">
        <v>824</v>
      </c>
      <c r="F71" s="243"/>
      <c r="G71" s="266">
        <v>1050</v>
      </c>
      <c r="H71" s="243" t="s">
        <v>8</v>
      </c>
      <c r="I71" s="266">
        <v>1200</v>
      </c>
      <c r="J71" s="243" t="s">
        <v>8</v>
      </c>
      <c r="K71" s="266">
        <v>1200</v>
      </c>
      <c r="L71" s="243"/>
    </row>
    <row r="72" spans="1:12" ht="11.25" customHeight="1">
      <c r="A72" s="262" t="s">
        <v>281</v>
      </c>
      <c r="B72" s="84"/>
      <c r="C72" s="266">
        <v>9727</v>
      </c>
      <c r="D72" s="243"/>
      <c r="E72" s="266">
        <v>7128</v>
      </c>
      <c r="F72" s="243" t="s">
        <v>8</v>
      </c>
      <c r="G72" s="266">
        <v>7996</v>
      </c>
      <c r="H72" s="243"/>
      <c r="I72" s="266">
        <v>8777</v>
      </c>
      <c r="J72" s="243" t="s">
        <v>8</v>
      </c>
      <c r="K72" s="266">
        <v>8366</v>
      </c>
      <c r="L72" s="243"/>
    </row>
    <row r="73" spans="1:12" ht="11.25" customHeight="1">
      <c r="A73" s="262" t="s">
        <v>340</v>
      </c>
      <c r="B73" s="84"/>
      <c r="C73" s="266">
        <v>1630</v>
      </c>
      <c r="D73" s="243" t="s">
        <v>8</v>
      </c>
      <c r="E73" s="266">
        <v>1587</v>
      </c>
      <c r="F73" s="243" t="s">
        <v>8</v>
      </c>
      <c r="G73" s="266">
        <v>1351</v>
      </c>
      <c r="H73" s="243" t="s">
        <v>8</v>
      </c>
      <c r="I73" s="266">
        <v>1400</v>
      </c>
      <c r="J73" s="243" t="s">
        <v>9</v>
      </c>
      <c r="K73" s="266">
        <v>1400</v>
      </c>
      <c r="L73" s="243" t="s">
        <v>9</v>
      </c>
    </row>
    <row r="74" spans="1:12" ht="11.25" customHeight="1">
      <c r="A74" s="262" t="s">
        <v>341</v>
      </c>
      <c r="B74" s="84"/>
      <c r="C74" s="266">
        <v>1146</v>
      </c>
      <c r="D74" s="243" t="s">
        <v>8</v>
      </c>
      <c r="E74" s="266">
        <v>1566</v>
      </c>
      <c r="F74" s="243" t="s">
        <v>8</v>
      </c>
      <c r="G74" s="266">
        <v>1705</v>
      </c>
      <c r="H74" s="243" t="s">
        <v>8</v>
      </c>
      <c r="I74" s="266">
        <v>1821</v>
      </c>
      <c r="J74" s="243" t="s">
        <v>8</v>
      </c>
      <c r="K74" s="266">
        <v>2100</v>
      </c>
      <c r="L74" s="243"/>
    </row>
    <row r="75" spans="1:12" ht="11.25" customHeight="1">
      <c r="A75" s="262" t="s">
        <v>85</v>
      </c>
      <c r="B75" s="84"/>
      <c r="C75" s="266">
        <v>5035</v>
      </c>
      <c r="D75" s="243"/>
      <c r="E75" s="266">
        <v>2761</v>
      </c>
      <c r="F75" s="243"/>
      <c r="G75" s="266">
        <v>3896</v>
      </c>
      <c r="H75" s="243"/>
      <c r="I75" s="266">
        <v>3810.835</v>
      </c>
      <c r="J75" s="243" t="s">
        <v>8</v>
      </c>
      <c r="K75" s="266">
        <v>3416.5149999999999</v>
      </c>
      <c r="L75" s="243"/>
    </row>
    <row r="76" spans="1:12" ht="11.25" customHeight="1">
      <c r="A76" s="262" t="s">
        <v>37</v>
      </c>
      <c r="B76" s="84"/>
      <c r="C76" s="266">
        <v>68700</v>
      </c>
      <c r="D76" s="243"/>
      <c r="E76" s="266">
        <v>59800</v>
      </c>
      <c r="F76" s="243" t="s">
        <v>8</v>
      </c>
      <c r="G76" s="266">
        <v>66800</v>
      </c>
      <c r="H76" s="243" t="s">
        <v>8</v>
      </c>
      <c r="I76" s="266">
        <v>68100</v>
      </c>
      <c r="J76" s="243" t="s">
        <v>8</v>
      </c>
      <c r="K76" s="266">
        <v>68500</v>
      </c>
      <c r="L76" s="243" t="s">
        <v>9</v>
      </c>
    </row>
    <row r="77" spans="1:12" ht="11.25" customHeight="1">
      <c r="A77" s="262" t="s">
        <v>342</v>
      </c>
      <c r="B77" s="84"/>
      <c r="C77" s="266">
        <v>4670</v>
      </c>
      <c r="D77" s="243"/>
      <c r="E77" s="266">
        <v>4700</v>
      </c>
      <c r="F77" s="243"/>
      <c r="G77" s="266">
        <v>5000</v>
      </c>
      <c r="H77" s="243"/>
      <c r="I77" s="266">
        <v>5300</v>
      </c>
      <c r="J77" s="243" t="s">
        <v>9</v>
      </c>
      <c r="K77" s="266">
        <v>5200</v>
      </c>
      <c r="L77" s="243" t="s">
        <v>9</v>
      </c>
    </row>
    <row r="78" spans="1:12" ht="11.25" customHeight="1">
      <c r="A78" s="262" t="s">
        <v>398</v>
      </c>
      <c r="B78" s="84"/>
      <c r="C78" s="266">
        <v>1662</v>
      </c>
      <c r="D78" s="243"/>
      <c r="E78" s="266">
        <v>1097</v>
      </c>
      <c r="F78" s="243"/>
      <c r="G78" s="266">
        <v>1254</v>
      </c>
      <c r="H78" s="243"/>
      <c r="I78" s="266">
        <v>1324</v>
      </c>
      <c r="J78" s="243"/>
      <c r="K78" s="266">
        <v>345</v>
      </c>
      <c r="L78" s="243" t="s">
        <v>483</v>
      </c>
    </row>
    <row r="79" spans="1:12" ht="12" customHeight="1">
      <c r="A79" s="262" t="s">
        <v>344</v>
      </c>
      <c r="B79" s="84"/>
      <c r="C79" s="267">
        <v>750</v>
      </c>
      <c r="D79" s="243" t="s">
        <v>8</v>
      </c>
      <c r="E79" s="267">
        <v>620</v>
      </c>
      <c r="F79" s="242"/>
      <c r="G79" s="267">
        <v>728</v>
      </c>
      <c r="H79" s="243" t="s">
        <v>8</v>
      </c>
      <c r="I79" s="267">
        <v>650</v>
      </c>
      <c r="J79" s="243"/>
      <c r="K79" s="267">
        <v>700</v>
      </c>
      <c r="L79" s="243"/>
    </row>
    <row r="80" spans="1:12" ht="11.25" customHeight="1">
      <c r="A80" s="262" t="s">
        <v>38</v>
      </c>
      <c r="B80" s="84"/>
      <c r="C80" s="266">
        <v>4478</v>
      </c>
      <c r="D80" s="243" t="s">
        <v>8</v>
      </c>
      <c r="E80" s="266">
        <v>3747</v>
      </c>
      <c r="F80" s="243"/>
      <c r="G80" s="266">
        <v>4580</v>
      </c>
      <c r="H80" s="243" t="s">
        <v>8</v>
      </c>
      <c r="I80" s="266">
        <v>4236</v>
      </c>
      <c r="J80" s="243" t="s">
        <v>8</v>
      </c>
      <c r="K80" s="266">
        <v>4250</v>
      </c>
      <c r="L80" s="243"/>
    </row>
    <row r="81" spans="1:12" ht="11.25" customHeight="1">
      <c r="A81" s="262" t="s">
        <v>345</v>
      </c>
      <c r="B81" s="84"/>
      <c r="C81" s="266">
        <v>692.32</v>
      </c>
      <c r="D81" s="243" t="s">
        <v>8</v>
      </c>
      <c r="E81" s="266">
        <v>462.7</v>
      </c>
      <c r="F81" s="243" t="s">
        <v>8</v>
      </c>
      <c r="G81" s="266">
        <v>565.94299999999998</v>
      </c>
      <c r="H81" s="243" t="s">
        <v>8</v>
      </c>
      <c r="I81" s="266">
        <v>706.13300000000004</v>
      </c>
      <c r="J81" s="243" t="s">
        <v>8</v>
      </c>
      <c r="K81" s="266">
        <v>600</v>
      </c>
      <c r="L81" s="243"/>
    </row>
    <row r="82" spans="1:12" ht="11.25" customHeight="1">
      <c r="A82" s="262" t="s">
        <v>240</v>
      </c>
      <c r="B82" s="84"/>
      <c r="C82" s="266">
        <v>8246</v>
      </c>
      <c r="D82" s="243"/>
      <c r="E82" s="266">
        <v>7484</v>
      </c>
      <c r="F82" s="243"/>
      <c r="G82" s="266">
        <v>7617</v>
      </c>
      <c r="H82" s="243"/>
      <c r="I82" s="266">
        <v>7546</v>
      </c>
      <c r="J82" s="243" t="s">
        <v>8</v>
      </c>
      <c r="K82" s="266">
        <v>7100</v>
      </c>
      <c r="L82" s="243" t="s">
        <v>9</v>
      </c>
    </row>
    <row r="83" spans="1:12" ht="11.25" customHeight="1">
      <c r="A83" s="262" t="s">
        <v>288</v>
      </c>
      <c r="B83" s="84"/>
      <c r="C83" s="266">
        <v>18600</v>
      </c>
      <c r="D83" s="243" t="s">
        <v>8</v>
      </c>
      <c r="E83" s="266">
        <v>14400</v>
      </c>
      <c r="F83" s="243" t="s">
        <v>8</v>
      </c>
      <c r="G83" s="266">
        <v>16343</v>
      </c>
      <c r="H83" s="243" t="s">
        <v>8</v>
      </c>
      <c r="I83" s="266">
        <v>15591</v>
      </c>
      <c r="J83" s="243" t="s">
        <v>8</v>
      </c>
      <c r="K83" s="266">
        <v>15600</v>
      </c>
      <c r="L83" s="243" t="s">
        <v>9</v>
      </c>
    </row>
    <row r="84" spans="1:12" ht="11.25" customHeight="1">
      <c r="A84" s="262" t="s">
        <v>514</v>
      </c>
      <c r="B84" s="84"/>
      <c r="C84" s="266" t="s">
        <v>13</v>
      </c>
      <c r="D84" s="243" t="s">
        <v>8</v>
      </c>
      <c r="E84" s="266" t="s">
        <v>13</v>
      </c>
      <c r="F84" s="243" t="s">
        <v>8</v>
      </c>
      <c r="G84" s="266" t="s">
        <v>13</v>
      </c>
      <c r="H84" s="243" t="s">
        <v>8</v>
      </c>
      <c r="I84" s="266" t="s">
        <v>13</v>
      </c>
      <c r="J84" s="243" t="s">
        <v>8</v>
      </c>
      <c r="K84" s="266" t="s">
        <v>13</v>
      </c>
      <c r="L84" s="243"/>
    </row>
    <row r="85" spans="1:12" ht="11.25" customHeight="1">
      <c r="A85" s="262" t="s">
        <v>39</v>
      </c>
      <c r="B85" s="84"/>
      <c r="C85" s="266">
        <v>5196</v>
      </c>
      <c r="D85" s="243" t="s">
        <v>8</v>
      </c>
      <c r="E85" s="266">
        <v>2805</v>
      </c>
      <c r="F85" s="243" t="s">
        <v>8</v>
      </c>
      <c r="G85" s="266">
        <v>4844</v>
      </c>
      <c r="H85" s="243" t="s">
        <v>8</v>
      </c>
      <c r="I85" s="266">
        <v>4866</v>
      </c>
      <c r="J85" s="243" t="s">
        <v>8</v>
      </c>
      <c r="K85" s="266">
        <v>4326</v>
      </c>
      <c r="L85" s="243"/>
    </row>
    <row r="86" spans="1:12" ht="11.25" customHeight="1">
      <c r="A86" s="262" t="s">
        <v>347</v>
      </c>
      <c r="B86" s="84"/>
      <c r="C86" s="266">
        <v>1257</v>
      </c>
      <c r="D86" s="243" t="s">
        <v>8</v>
      </c>
      <c r="E86" s="266">
        <v>984</v>
      </c>
      <c r="F86" s="243" t="s">
        <v>8</v>
      </c>
      <c r="G86" s="266">
        <v>1330</v>
      </c>
      <c r="H86" s="243" t="s">
        <v>8</v>
      </c>
      <c r="I86" s="266">
        <v>1400</v>
      </c>
      <c r="J86" s="243" t="s">
        <v>8</v>
      </c>
      <c r="K86" s="266">
        <v>1250</v>
      </c>
      <c r="L86" s="242"/>
    </row>
    <row r="87" spans="1:12" ht="11.25" customHeight="1">
      <c r="A87" s="262" t="s">
        <v>515</v>
      </c>
      <c r="B87" s="84"/>
      <c r="C87" s="266">
        <v>63</v>
      </c>
      <c r="D87" s="243" t="s">
        <v>8</v>
      </c>
      <c r="E87" s="266">
        <v>61</v>
      </c>
      <c r="F87" s="243" t="s">
        <v>8</v>
      </c>
      <c r="G87" s="266">
        <v>63</v>
      </c>
      <c r="H87" s="243" t="s">
        <v>8</v>
      </c>
      <c r="I87" s="266">
        <v>63</v>
      </c>
      <c r="J87" s="243" t="s">
        <v>79</v>
      </c>
      <c r="K87" s="266">
        <v>70</v>
      </c>
      <c r="L87" s="243"/>
    </row>
    <row r="88" spans="1:12" ht="11.25" customHeight="1">
      <c r="A88" s="262" t="s">
        <v>349</v>
      </c>
      <c r="B88" s="84"/>
      <c r="C88" s="266">
        <v>19222</v>
      </c>
      <c r="D88" s="243"/>
      <c r="E88" s="266">
        <v>15566</v>
      </c>
      <c r="F88" s="243"/>
      <c r="G88" s="266">
        <v>20498</v>
      </c>
      <c r="H88" s="243"/>
      <c r="I88" s="266">
        <v>22879</v>
      </c>
      <c r="J88" s="243"/>
      <c r="K88" s="266">
        <v>21083</v>
      </c>
      <c r="L88" s="243"/>
    </row>
    <row r="89" spans="1:12" ht="11.25" customHeight="1">
      <c r="A89" s="262" t="s">
        <v>40</v>
      </c>
      <c r="B89" s="84"/>
      <c r="C89" s="266">
        <v>5211</v>
      </c>
      <c r="D89" s="243"/>
      <c r="E89" s="266">
        <v>3645</v>
      </c>
      <c r="F89" s="243"/>
      <c r="G89" s="266">
        <v>4145</v>
      </c>
      <c r="H89" s="243"/>
      <c r="I89" s="266">
        <v>4000</v>
      </c>
      <c r="J89" s="243" t="s">
        <v>8</v>
      </c>
      <c r="K89" s="266">
        <v>4000</v>
      </c>
      <c r="L89" s="243" t="s">
        <v>9</v>
      </c>
    </row>
    <row r="90" spans="1:12" ht="11.25" customHeight="1">
      <c r="A90" s="262" t="s">
        <v>350</v>
      </c>
      <c r="B90" s="84"/>
      <c r="C90" s="266">
        <v>489</v>
      </c>
      <c r="D90" s="243"/>
      <c r="E90" s="266">
        <v>417</v>
      </c>
      <c r="F90" s="243"/>
      <c r="G90" s="266">
        <v>572</v>
      </c>
      <c r="H90" s="243"/>
      <c r="I90" s="266">
        <v>610</v>
      </c>
      <c r="J90" s="243"/>
      <c r="K90" s="266">
        <v>568</v>
      </c>
      <c r="L90" s="243"/>
    </row>
    <row r="91" spans="1:12" ht="11.25" customHeight="1">
      <c r="A91" s="262" t="s">
        <v>42</v>
      </c>
      <c r="B91" s="84"/>
      <c r="C91" s="266">
        <v>82</v>
      </c>
      <c r="D91" s="243"/>
      <c r="E91" s="266">
        <v>155</v>
      </c>
      <c r="F91" s="243"/>
      <c r="G91" s="266">
        <v>115</v>
      </c>
      <c r="H91" s="243" t="s">
        <v>8</v>
      </c>
      <c r="I91" s="266">
        <v>119</v>
      </c>
      <c r="J91" s="243" t="s">
        <v>8</v>
      </c>
      <c r="K91" s="266">
        <v>180</v>
      </c>
      <c r="L91" s="243"/>
    </row>
    <row r="92" spans="1:12" ht="11.25" customHeight="1">
      <c r="A92" s="262" t="s">
        <v>45</v>
      </c>
      <c r="B92" s="84"/>
      <c r="C92" s="266">
        <v>26809</v>
      </c>
      <c r="D92" s="243"/>
      <c r="E92" s="266">
        <v>25304</v>
      </c>
      <c r="F92" s="243" t="s">
        <v>8</v>
      </c>
      <c r="G92" s="266">
        <v>29030</v>
      </c>
      <c r="H92" s="243" t="s">
        <v>8</v>
      </c>
      <c r="I92" s="266">
        <v>34000</v>
      </c>
      <c r="J92" s="243"/>
      <c r="K92" s="266">
        <v>36000</v>
      </c>
      <c r="L92" s="243" t="s">
        <v>9</v>
      </c>
    </row>
    <row r="93" spans="1:12" ht="12" customHeight="1">
      <c r="A93" s="262" t="s">
        <v>351</v>
      </c>
      <c r="B93" s="84"/>
      <c r="C93" s="266">
        <v>7</v>
      </c>
      <c r="D93" s="243" t="s">
        <v>8</v>
      </c>
      <c r="E93" s="266">
        <v>7</v>
      </c>
      <c r="F93" s="243" t="s">
        <v>8</v>
      </c>
      <c r="G93" s="266">
        <v>7</v>
      </c>
      <c r="H93" s="243" t="s">
        <v>8</v>
      </c>
      <c r="I93" s="266">
        <v>7</v>
      </c>
      <c r="J93" s="243" t="s">
        <v>8</v>
      </c>
      <c r="K93" s="266">
        <v>7</v>
      </c>
      <c r="L93" s="243"/>
    </row>
    <row r="94" spans="1:12" ht="11.25" customHeight="1">
      <c r="A94" s="262" t="s">
        <v>49</v>
      </c>
      <c r="B94" s="84"/>
      <c r="C94" s="266">
        <v>37279</v>
      </c>
      <c r="D94" s="243"/>
      <c r="E94" s="266">
        <v>29855</v>
      </c>
      <c r="F94" s="243"/>
      <c r="G94" s="266">
        <v>33559</v>
      </c>
      <c r="H94" s="243"/>
      <c r="I94" s="266">
        <v>35332</v>
      </c>
      <c r="J94" s="243"/>
      <c r="K94" s="266">
        <v>32912</v>
      </c>
      <c r="L94" s="243"/>
    </row>
    <row r="95" spans="1:12" ht="11.25" customHeight="1">
      <c r="A95" s="262" t="s">
        <v>516</v>
      </c>
      <c r="B95" s="84"/>
      <c r="C95" s="266">
        <v>100</v>
      </c>
      <c r="D95" s="243" t="s">
        <v>8</v>
      </c>
      <c r="E95" s="266">
        <v>100</v>
      </c>
      <c r="F95" s="243" t="s">
        <v>8</v>
      </c>
      <c r="G95" s="266">
        <v>500</v>
      </c>
      <c r="H95" s="243" t="s">
        <v>8</v>
      </c>
      <c r="I95" s="266">
        <v>2000</v>
      </c>
      <c r="J95" s="243" t="s">
        <v>8</v>
      </c>
      <c r="K95" s="266">
        <v>2800</v>
      </c>
      <c r="L95" s="243"/>
    </row>
    <row r="96" spans="1:12" ht="11.25" customHeight="1">
      <c r="A96" s="262" t="s">
        <v>50</v>
      </c>
      <c r="B96" s="84"/>
      <c r="C96" s="266">
        <v>13538</v>
      </c>
      <c r="D96" s="243"/>
      <c r="E96" s="266">
        <v>10079</v>
      </c>
      <c r="F96" s="243" t="s">
        <v>8</v>
      </c>
      <c r="G96" s="266">
        <v>9709</v>
      </c>
      <c r="H96" s="243"/>
      <c r="I96" s="266">
        <v>9478</v>
      </c>
      <c r="J96" s="243" t="s">
        <v>8</v>
      </c>
      <c r="K96" s="266">
        <v>9819</v>
      </c>
      <c r="L96" s="243"/>
    </row>
    <row r="97" spans="1:12" ht="11.25" customHeight="1">
      <c r="A97" s="262" t="s">
        <v>51</v>
      </c>
      <c r="B97" s="84"/>
      <c r="C97" s="266">
        <v>91900</v>
      </c>
      <c r="D97" s="243"/>
      <c r="E97" s="266">
        <v>59400</v>
      </c>
      <c r="F97" s="243"/>
      <c r="G97" s="266">
        <v>80500</v>
      </c>
      <c r="H97" s="243"/>
      <c r="I97" s="266">
        <v>86400</v>
      </c>
      <c r="J97" s="243"/>
      <c r="K97" s="266">
        <v>88700</v>
      </c>
      <c r="L97" s="243"/>
    </row>
    <row r="98" spans="1:12" ht="11.25" customHeight="1">
      <c r="A98" s="262" t="s">
        <v>352</v>
      </c>
      <c r="B98" s="84"/>
      <c r="C98" s="266">
        <v>86</v>
      </c>
      <c r="D98" s="243" t="s">
        <v>8</v>
      </c>
      <c r="E98" s="266">
        <v>57</v>
      </c>
      <c r="F98" s="243" t="s">
        <v>8</v>
      </c>
      <c r="G98" s="266">
        <v>65</v>
      </c>
      <c r="H98" s="243" t="s">
        <v>8</v>
      </c>
      <c r="I98" s="266">
        <v>80</v>
      </c>
      <c r="J98" s="243" t="s">
        <v>8</v>
      </c>
      <c r="K98" s="266">
        <v>44</v>
      </c>
      <c r="L98" s="243"/>
    </row>
    <row r="99" spans="1:12" ht="11.25" customHeight="1">
      <c r="A99" s="262" t="s">
        <v>353</v>
      </c>
      <c r="B99" s="84"/>
      <c r="C99" s="266">
        <v>685.7</v>
      </c>
      <c r="D99" s="243"/>
      <c r="E99" s="266">
        <v>716.4</v>
      </c>
      <c r="F99" s="243"/>
      <c r="G99" s="266">
        <v>731.37300000000005</v>
      </c>
      <c r="H99" s="243" t="s">
        <v>8</v>
      </c>
      <c r="I99" s="266">
        <v>746</v>
      </c>
      <c r="J99" s="243" t="s">
        <v>8</v>
      </c>
      <c r="K99" s="266">
        <v>750</v>
      </c>
      <c r="L99" s="243" t="s">
        <v>9</v>
      </c>
    </row>
    <row r="100" spans="1:12" ht="11.25" customHeight="1">
      <c r="A100" s="262" t="s">
        <v>52</v>
      </c>
      <c r="B100" s="84"/>
      <c r="C100" s="266">
        <v>4225</v>
      </c>
      <c r="D100" s="243" t="s">
        <v>8</v>
      </c>
      <c r="E100" s="266">
        <v>3808</v>
      </c>
      <c r="F100" s="243" t="s">
        <v>8</v>
      </c>
      <c r="G100" s="266">
        <v>2207</v>
      </c>
      <c r="H100" s="243" t="s">
        <v>8</v>
      </c>
      <c r="I100" s="266">
        <v>2200</v>
      </c>
      <c r="J100" s="243" t="s">
        <v>79</v>
      </c>
      <c r="K100" s="266">
        <v>2555</v>
      </c>
      <c r="L100" s="243"/>
    </row>
    <row r="101" spans="1:12" ht="11.25" customHeight="1">
      <c r="A101" s="262" t="s">
        <v>517</v>
      </c>
      <c r="B101" s="84"/>
      <c r="C101" s="266">
        <v>2250</v>
      </c>
      <c r="D101" s="243"/>
      <c r="E101" s="266">
        <v>2700</v>
      </c>
      <c r="F101" s="243" t="s">
        <v>506</v>
      </c>
      <c r="G101" s="266">
        <v>4314</v>
      </c>
      <c r="H101" s="243" t="s">
        <v>506</v>
      </c>
      <c r="I101" s="266">
        <v>4500</v>
      </c>
      <c r="J101" s="243" t="s">
        <v>8</v>
      </c>
      <c r="K101" s="266">
        <v>4500</v>
      </c>
      <c r="L101" s="243"/>
    </row>
    <row r="102" spans="1:12" ht="11.25" customHeight="1">
      <c r="A102" s="262" t="s">
        <v>295</v>
      </c>
      <c r="B102" s="84"/>
      <c r="C102" s="266">
        <v>10</v>
      </c>
      <c r="D102" s="269" t="s">
        <v>506</v>
      </c>
      <c r="E102" s="266">
        <v>14</v>
      </c>
      <c r="F102" s="269" t="s">
        <v>8</v>
      </c>
      <c r="G102" s="266">
        <v>14</v>
      </c>
      <c r="H102" s="269" t="s">
        <v>8</v>
      </c>
      <c r="I102" s="266">
        <v>15</v>
      </c>
      <c r="J102" s="269" t="s">
        <v>8</v>
      </c>
      <c r="K102" s="266" t="s">
        <v>12</v>
      </c>
      <c r="L102" s="269"/>
    </row>
    <row r="103" spans="1:12" ht="11.25" customHeight="1">
      <c r="A103" s="270" t="s">
        <v>54</v>
      </c>
      <c r="B103" s="271"/>
      <c r="C103" s="272">
        <v>1330000</v>
      </c>
      <c r="D103" s="269" t="s">
        <v>8</v>
      </c>
      <c r="E103" s="272">
        <v>1230000</v>
      </c>
      <c r="F103" s="269" t="s">
        <v>8</v>
      </c>
      <c r="G103" s="272">
        <v>1430000</v>
      </c>
      <c r="H103" s="269" t="s">
        <v>8</v>
      </c>
      <c r="I103" s="272">
        <v>1520000</v>
      </c>
      <c r="J103" s="269" t="s">
        <v>8</v>
      </c>
      <c r="K103" s="272">
        <v>1550000</v>
      </c>
      <c r="L103" s="269"/>
    </row>
    <row r="104" spans="1:12" ht="11.25" customHeight="1">
      <c r="A104" s="425" t="s">
        <v>518</v>
      </c>
      <c r="B104" s="425"/>
      <c r="C104" s="425"/>
      <c r="D104" s="425"/>
      <c r="E104" s="425"/>
      <c r="F104" s="425"/>
      <c r="G104" s="425"/>
      <c r="H104" s="425"/>
      <c r="I104" s="425"/>
      <c r="J104" s="425"/>
      <c r="K104" s="425"/>
      <c r="L104" s="425"/>
    </row>
    <row r="105" spans="1:12" ht="11.25" customHeight="1">
      <c r="A105" s="425" t="s">
        <v>519</v>
      </c>
      <c r="B105" s="425"/>
      <c r="C105" s="425"/>
      <c r="D105" s="425"/>
      <c r="E105" s="425"/>
      <c r="F105" s="425"/>
      <c r="G105" s="425"/>
      <c r="H105" s="425"/>
      <c r="I105" s="425"/>
      <c r="J105" s="425"/>
      <c r="K105" s="425"/>
      <c r="L105" s="425"/>
    </row>
    <row r="106" spans="1:12" ht="11.25" customHeight="1">
      <c r="A106" s="425" t="s">
        <v>520</v>
      </c>
      <c r="B106" s="425"/>
      <c r="C106" s="425"/>
      <c r="D106" s="425"/>
      <c r="E106" s="425"/>
      <c r="F106" s="425"/>
      <c r="G106" s="425"/>
      <c r="H106" s="425"/>
      <c r="I106" s="425"/>
      <c r="J106" s="425"/>
      <c r="K106" s="425"/>
      <c r="L106" s="425"/>
    </row>
    <row r="107" spans="1:12" ht="11.25" customHeight="1">
      <c r="A107" s="422" t="s">
        <v>521</v>
      </c>
      <c r="B107" s="422"/>
      <c r="C107" s="422"/>
      <c r="D107" s="422"/>
      <c r="E107" s="422"/>
      <c r="F107" s="422"/>
      <c r="G107" s="422"/>
      <c r="H107" s="422"/>
      <c r="I107" s="422"/>
      <c r="J107" s="422"/>
      <c r="K107" s="422"/>
      <c r="L107" s="422"/>
    </row>
    <row r="108" spans="1:12" ht="11.25" customHeight="1">
      <c r="A108" s="425" t="s">
        <v>522</v>
      </c>
      <c r="B108" s="425"/>
      <c r="C108" s="425"/>
      <c r="D108" s="425"/>
      <c r="E108" s="425"/>
      <c r="F108" s="425"/>
      <c r="G108" s="425"/>
      <c r="H108" s="425"/>
      <c r="I108" s="425"/>
      <c r="J108" s="425"/>
      <c r="K108" s="425"/>
      <c r="L108" s="425"/>
    </row>
    <row r="109" spans="1:12" ht="11.25" customHeight="1">
      <c r="A109" s="425" t="s">
        <v>523</v>
      </c>
      <c r="B109" s="425"/>
      <c r="C109" s="425"/>
      <c r="D109" s="425"/>
      <c r="E109" s="425"/>
      <c r="F109" s="425"/>
      <c r="G109" s="425"/>
      <c r="H109" s="425"/>
      <c r="I109" s="425"/>
      <c r="J109" s="425"/>
      <c r="K109" s="425"/>
      <c r="L109" s="425"/>
    </row>
    <row r="110" spans="1:12" ht="11.25" customHeight="1">
      <c r="A110" s="422" t="s">
        <v>524</v>
      </c>
      <c r="B110" s="422"/>
      <c r="C110" s="422"/>
      <c r="D110" s="422"/>
      <c r="E110" s="422"/>
      <c r="F110" s="422"/>
      <c r="G110" s="422"/>
      <c r="H110" s="422"/>
      <c r="I110" s="422"/>
      <c r="J110" s="422"/>
      <c r="K110" s="422"/>
      <c r="L110" s="422"/>
    </row>
    <row r="111" spans="1:12" ht="11.25" customHeight="1">
      <c r="A111" s="425" t="s">
        <v>525</v>
      </c>
      <c r="B111" s="425"/>
      <c r="C111" s="425"/>
      <c r="D111" s="425"/>
      <c r="E111" s="425"/>
      <c r="F111" s="425"/>
      <c r="G111" s="425"/>
      <c r="H111" s="425"/>
      <c r="I111" s="425"/>
      <c r="J111" s="425"/>
      <c r="K111" s="425"/>
      <c r="L111" s="425"/>
    </row>
    <row r="112" spans="1:12" ht="11.25" customHeight="1">
      <c r="A112" s="425" t="s">
        <v>526</v>
      </c>
      <c r="B112" s="425"/>
      <c r="C112" s="425"/>
      <c r="D112" s="425"/>
      <c r="E112" s="425"/>
      <c r="F112" s="425"/>
      <c r="G112" s="425"/>
      <c r="H112" s="425"/>
      <c r="I112" s="425"/>
      <c r="J112" s="425"/>
      <c r="K112" s="425"/>
      <c r="L112" s="425"/>
    </row>
    <row r="113" spans="1:12" ht="11.25" customHeight="1">
      <c r="A113" s="425" t="s">
        <v>527</v>
      </c>
      <c r="B113" s="425"/>
      <c r="C113" s="425"/>
      <c r="D113" s="425"/>
      <c r="E113" s="425"/>
      <c r="F113" s="425"/>
      <c r="G113" s="425"/>
      <c r="H113" s="425"/>
      <c r="I113" s="425"/>
      <c r="J113" s="425"/>
      <c r="K113" s="425"/>
      <c r="L113" s="425"/>
    </row>
    <row r="114" spans="1:12" ht="11.25" customHeight="1">
      <c r="A114" s="425" t="s">
        <v>528</v>
      </c>
      <c r="B114" s="425"/>
      <c r="C114" s="425"/>
      <c r="D114" s="425"/>
      <c r="E114" s="425"/>
      <c r="F114" s="425"/>
      <c r="G114" s="425"/>
      <c r="H114" s="425"/>
      <c r="I114" s="425"/>
      <c r="J114" s="425"/>
      <c r="K114" s="425"/>
      <c r="L114" s="425"/>
    </row>
  </sheetData>
  <mergeCells count="22">
    <mergeCell ref="A111:L111"/>
    <mergeCell ref="A112:L112"/>
    <mergeCell ref="A113:L113"/>
    <mergeCell ref="A114:L114"/>
    <mergeCell ref="A105:L105"/>
    <mergeCell ref="A106:L106"/>
    <mergeCell ref="A107:L107"/>
    <mergeCell ref="A108:L108"/>
    <mergeCell ref="A109:L109"/>
    <mergeCell ref="A110:L110"/>
    <mergeCell ref="A104:L104"/>
    <mergeCell ref="A1:L1"/>
    <mergeCell ref="A2:L2"/>
    <mergeCell ref="A3:L3"/>
    <mergeCell ref="A4:L4"/>
    <mergeCell ref="A5:L5"/>
    <mergeCell ref="A63:L63"/>
    <mergeCell ref="A64:L64"/>
    <mergeCell ref="A65:L65"/>
    <mergeCell ref="A66:L66"/>
    <mergeCell ref="A67:L67"/>
    <mergeCell ref="A68:L68"/>
  </mergeCells>
  <pageMargins left="0.5" right="0.5" top="0.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F20D-D223-EF40-930A-B2375B148DCA}">
  <dimension ref="A1:L112"/>
  <sheetViews>
    <sheetView topLeftCell="A63" zoomScaleNormal="100" workbookViewId="0">
      <selection activeCell="A73" sqref="A73:K106"/>
    </sheetView>
  </sheetViews>
  <sheetFormatPr baseColWidth="10" defaultColWidth="8" defaultRowHeight="12"/>
  <cols>
    <col min="1" max="1" width="18.33203125" style="273" customWidth="1"/>
    <col min="2" max="2" width="1.1640625" style="280" customWidth="1"/>
    <col min="3" max="3" width="6.83203125" style="295" customWidth="1"/>
    <col min="4" max="4" width="1.5" style="282" customWidth="1"/>
    <col min="5" max="5" width="6.83203125" style="295" customWidth="1"/>
    <col min="6" max="6" width="1.5" style="282" customWidth="1"/>
    <col min="7" max="7" width="6.83203125" style="295" customWidth="1"/>
    <col min="8" max="8" width="1.5" style="282" customWidth="1"/>
    <col min="9" max="9" width="6.83203125" style="295" customWidth="1"/>
    <col min="10" max="10" width="1.5" style="282" customWidth="1"/>
    <col min="11" max="11" width="6.83203125" style="295" customWidth="1"/>
    <col min="12" max="12" width="1.5" style="282" customWidth="1"/>
    <col min="13" max="16384" width="8" style="273"/>
  </cols>
  <sheetData>
    <row r="1" spans="1:12" ht="11.25" customHeight="1">
      <c r="A1" s="430" t="s">
        <v>420</v>
      </c>
      <c r="B1" s="430"/>
      <c r="C1" s="430"/>
      <c r="D1" s="430"/>
      <c r="E1" s="430"/>
      <c r="F1" s="430"/>
      <c r="G1" s="430"/>
      <c r="H1" s="430"/>
      <c r="I1" s="430"/>
      <c r="J1" s="430"/>
      <c r="K1" s="430"/>
      <c r="L1" s="430"/>
    </row>
    <row r="2" spans="1:12" ht="11.25" customHeight="1">
      <c r="A2" s="430" t="s">
        <v>575</v>
      </c>
      <c r="B2" s="430"/>
      <c r="C2" s="430"/>
      <c r="D2" s="430"/>
      <c r="E2" s="430"/>
      <c r="F2" s="430"/>
      <c r="G2" s="430"/>
      <c r="H2" s="430"/>
      <c r="I2" s="430"/>
      <c r="J2" s="430"/>
      <c r="K2" s="430"/>
      <c r="L2" s="430"/>
    </row>
    <row r="3" spans="1:12" ht="11.25" customHeight="1">
      <c r="A3" s="431"/>
      <c r="B3" s="431"/>
      <c r="C3" s="431"/>
      <c r="D3" s="431"/>
      <c r="E3" s="431"/>
      <c r="F3" s="431"/>
      <c r="G3" s="431"/>
      <c r="H3" s="431"/>
      <c r="I3" s="431"/>
      <c r="J3" s="431"/>
      <c r="K3" s="431"/>
      <c r="L3" s="431"/>
    </row>
    <row r="4" spans="1:12" ht="11.25" customHeight="1">
      <c r="A4" s="430" t="s">
        <v>576</v>
      </c>
      <c r="B4" s="430"/>
      <c r="C4" s="430"/>
      <c r="D4" s="430"/>
      <c r="E4" s="430"/>
      <c r="F4" s="430"/>
      <c r="G4" s="430"/>
      <c r="H4" s="430"/>
      <c r="I4" s="430"/>
      <c r="J4" s="430"/>
      <c r="K4" s="430"/>
      <c r="L4" s="430"/>
    </row>
    <row r="5" spans="1:12" ht="11.25" customHeight="1">
      <c r="A5" s="436"/>
      <c r="B5" s="436"/>
      <c r="C5" s="436"/>
      <c r="D5" s="436"/>
      <c r="E5" s="436"/>
      <c r="F5" s="436"/>
      <c r="G5" s="436"/>
      <c r="H5" s="436"/>
      <c r="I5" s="436"/>
      <c r="J5" s="436"/>
      <c r="K5" s="436"/>
      <c r="L5" s="436"/>
    </row>
    <row r="6" spans="1:12" ht="12.5" customHeight="1">
      <c r="A6" s="296" t="s">
        <v>577</v>
      </c>
      <c r="B6" s="296"/>
      <c r="C6" s="277">
        <v>2013</v>
      </c>
      <c r="D6" s="276"/>
      <c r="E6" s="277">
        <v>2014</v>
      </c>
      <c r="F6" s="276"/>
      <c r="G6" s="277">
        <v>2015</v>
      </c>
      <c r="H6" s="276"/>
      <c r="I6" s="277">
        <v>2016</v>
      </c>
      <c r="J6" s="276"/>
      <c r="K6" s="277">
        <v>2017</v>
      </c>
      <c r="L6" s="276"/>
    </row>
    <row r="7" spans="1:12" ht="11.25" customHeight="1">
      <c r="A7" s="279" t="s">
        <v>578</v>
      </c>
      <c r="C7" s="281">
        <v>25</v>
      </c>
      <c r="D7" s="282" t="s">
        <v>8</v>
      </c>
      <c r="E7" s="281">
        <v>24</v>
      </c>
      <c r="F7" s="282" t="s">
        <v>8</v>
      </c>
      <c r="G7" s="281">
        <v>3</v>
      </c>
      <c r="H7" s="282" t="s">
        <v>8</v>
      </c>
      <c r="I7" s="281">
        <v>24</v>
      </c>
      <c r="J7" s="282" t="s">
        <v>9</v>
      </c>
      <c r="K7" s="281">
        <v>33</v>
      </c>
    </row>
    <row r="8" spans="1:12" ht="11.25" customHeight="1">
      <c r="A8" s="279" t="s">
        <v>424</v>
      </c>
      <c r="C8" s="281">
        <v>550</v>
      </c>
      <c r="D8" s="282" t="s">
        <v>8</v>
      </c>
      <c r="E8" s="281">
        <v>560</v>
      </c>
      <c r="F8" s="282" t="s">
        <v>8</v>
      </c>
      <c r="G8" s="281">
        <v>150</v>
      </c>
      <c r="H8" s="282" t="s">
        <v>8</v>
      </c>
      <c r="I8" s="281">
        <v>100</v>
      </c>
      <c r="J8" s="282" t="s">
        <v>579</v>
      </c>
      <c r="K8" s="281">
        <v>100</v>
      </c>
      <c r="L8" s="282" t="s">
        <v>9</v>
      </c>
    </row>
    <row r="9" spans="1:12" ht="11.25" customHeight="1">
      <c r="A9" s="279" t="s">
        <v>7</v>
      </c>
      <c r="C9" s="281">
        <v>417</v>
      </c>
      <c r="D9" s="282" t="s">
        <v>579</v>
      </c>
      <c r="E9" s="281">
        <v>415</v>
      </c>
      <c r="F9" s="282" t="s">
        <v>579</v>
      </c>
      <c r="G9" s="281">
        <v>650</v>
      </c>
      <c r="H9" s="282" t="s">
        <v>579</v>
      </c>
      <c r="I9" s="281">
        <v>650</v>
      </c>
      <c r="J9" s="282" t="s">
        <v>579</v>
      </c>
      <c r="K9" s="281">
        <v>650</v>
      </c>
      <c r="L9" s="282" t="s">
        <v>9</v>
      </c>
    </row>
    <row r="10" spans="1:12" ht="11.25" customHeight="1">
      <c r="A10" s="279" t="s">
        <v>224</v>
      </c>
      <c r="C10" s="281">
        <v>5186</v>
      </c>
      <c r="D10" s="282" t="s">
        <v>579</v>
      </c>
      <c r="E10" s="281">
        <v>5488</v>
      </c>
      <c r="F10" s="282" t="s">
        <v>579</v>
      </c>
      <c r="G10" s="281">
        <v>5028</v>
      </c>
      <c r="H10" s="282" t="s">
        <v>579</v>
      </c>
      <c r="I10" s="281">
        <v>4126</v>
      </c>
      <c r="J10" s="282" t="s">
        <v>579</v>
      </c>
      <c r="K10" s="281">
        <v>4600</v>
      </c>
    </row>
    <row r="11" spans="1:12" ht="11.25" customHeight="1">
      <c r="A11" s="279" t="s">
        <v>10</v>
      </c>
      <c r="C11" s="281">
        <v>4731</v>
      </c>
      <c r="D11" s="282" t="s">
        <v>579</v>
      </c>
      <c r="E11" s="281">
        <v>4582</v>
      </c>
      <c r="F11" s="282" t="s">
        <v>579</v>
      </c>
      <c r="G11" s="281">
        <v>4935</v>
      </c>
      <c r="H11" s="282" t="s">
        <v>579</v>
      </c>
      <c r="I11" s="281">
        <v>5259</v>
      </c>
      <c r="J11" s="282" t="s">
        <v>579</v>
      </c>
      <c r="K11" s="281">
        <v>5300</v>
      </c>
    </row>
    <row r="12" spans="1:12" ht="11.25" customHeight="1">
      <c r="A12" s="279" t="s">
        <v>11</v>
      </c>
      <c r="C12" s="281">
        <v>7953</v>
      </c>
      <c r="D12" s="282" t="s">
        <v>579</v>
      </c>
      <c r="E12" s="281">
        <v>7876</v>
      </c>
      <c r="F12" s="282" t="s">
        <v>579</v>
      </c>
      <c r="G12" s="281">
        <v>7687</v>
      </c>
      <c r="H12" s="282" t="s">
        <v>579</v>
      </c>
      <c r="I12" s="281">
        <v>7440</v>
      </c>
      <c r="J12" s="282" t="s">
        <v>79</v>
      </c>
      <c r="K12" s="281">
        <v>8100</v>
      </c>
    </row>
    <row r="13" spans="1:12" ht="11.25" customHeight="1">
      <c r="A13" s="279" t="s">
        <v>80</v>
      </c>
      <c r="C13" s="281">
        <v>223</v>
      </c>
      <c r="D13" s="282" t="s">
        <v>579</v>
      </c>
      <c r="E13" s="281">
        <v>324</v>
      </c>
      <c r="F13" s="282" t="s">
        <v>579</v>
      </c>
      <c r="G13" s="281">
        <v>302</v>
      </c>
      <c r="H13" s="282" t="s">
        <v>579</v>
      </c>
      <c r="I13" s="281">
        <v>180</v>
      </c>
      <c r="J13" s="282" t="s">
        <v>579</v>
      </c>
      <c r="K13" s="281">
        <v>180</v>
      </c>
      <c r="L13" s="282" t="s">
        <v>9</v>
      </c>
    </row>
    <row r="14" spans="1:12" ht="12" customHeight="1">
      <c r="A14" s="279" t="s">
        <v>580</v>
      </c>
      <c r="C14" s="281">
        <v>970</v>
      </c>
      <c r="E14" s="281">
        <v>970</v>
      </c>
      <c r="G14" s="281">
        <v>970</v>
      </c>
      <c r="I14" s="281">
        <v>960</v>
      </c>
      <c r="J14" s="282" t="s">
        <v>8</v>
      </c>
      <c r="K14" s="281">
        <v>960</v>
      </c>
    </row>
    <row r="15" spans="1:12" ht="11.25" customHeight="1">
      <c r="A15" s="279" t="s">
        <v>312</v>
      </c>
      <c r="C15" s="281">
        <v>2395</v>
      </c>
      <c r="D15" s="282" t="s">
        <v>579</v>
      </c>
      <c r="E15" s="281">
        <v>2598</v>
      </c>
      <c r="F15" s="282" t="s">
        <v>579</v>
      </c>
      <c r="G15" s="281">
        <v>2579</v>
      </c>
      <c r="H15" s="282" t="s">
        <v>579</v>
      </c>
      <c r="I15" s="281">
        <v>2188</v>
      </c>
      <c r="J15" s="282" t="s">
        <v>579</v>
      </c>
      <c r="K15" s="281">
        <v>2400</v>
      </c>
    </row>
    <row r="16" spans="1:12" ht="11.25" customHeight="1">
      <c r="A16" s="279" t="s">
        <v>261</v>
      </c>
      <c r="C16" s="281">
        <v>7093</v>
      </c>
      <c r="D16" s="282" t="s">
        <v>579</v>
      </c>
      <c r="E16" s="281">
        <v>7331</v>
      </c>
      <c r="F16" s="282" t="s">
        <v>579</v>
      </c>
      <c r="G16" s="281">
        <v>7257</v>
      </c>
      <c r="H16" s="282" t="s">
        <v>579</v>
      </c>
      <c r="I16" s="281">
        <v>7687</v>
      </c>
      <c r="J16" s="282" t="s">
        <v>579</v>
      </c>
      <c r="K16" s="281">
        <v>7800</v>
      </c>
    </row>
    <row r="17" spans="1:12" ht="11.25" customHeight="1">
      <c r="A17" s="279" t="s">
        <v>81</v>
      </c>
      <c r="C17" s="281">
        <v>722</v>
      </c>
      <c r="D17" s="282" t="s">
        <v>579</v>
      </c>
      <c r="E17" s="281">
        <v>792</v>
      </c>
      <c r="F17" s="282" t="s">
        <v>579</v>
      </c>
      <c r="G17" s="281">
        <v>796</v>
      </c>
      <c r="H17" s="282" t="s">
        <v>579</v>
      </c>
      <c r="I17" s="281">
        <v>806</v>
      </c>
      <c r="J17" s="282" t="s">
        <v>579</v>
      </c>
      <c r="K17" s="281">
        <v>806</v>
      </c>
      <c r="L17" s="282" t="s">
        <v>9</v>
      </c>
    </row>
    <row r="18" spans="1:12" ht="12" customHeight="1">
      <c r="A18" s="279" t="s">
        <v>581</v>
      </c>
      <c r="C18" s="281">
        <v>34163</v>
      </c>
      <c r="D18" s="282" t="s">
        <v>579</v>
      </c>
      <c r="E18" s="281">
        <v>33912</v>
      </c>
      <c r="F18" s="282" t="s">
        <v>579</v>
      </c>
      <c r="G18" s="281">
        <v>33300</v>
      </c>
      <c r="H18" s="282" t="s">
        <v>579</v>
      </c>
      <c r="I18" s="281">
        <v>31275</v>
      </c>
      <c r="J18" s="282" t="s">
        <v>579</v>
      </c>
      <c r="K18" s="281">
        <v>34400</v>
      </c>
    </row>
    <row r="19" spans="1:12" ht="11.25" customHeight="1">
      <c r="A19" s="279" t="s">
        <v>16</v>
      </c>
      <c r="C19" s="281">
        <v>523</v>
      </c>
      <c r="D19" s="282" t="s">
        <v>579</v>
      </c>
      <c r="E19" s="281">
        <v>612</v>
      </c>
      <c r="F19" s="282" t="s">
        <v>579</v>
      </c>
      <c r="G19" s="281">
        <v>543</v>
      </c>
      <c r="H19" s="282" t="s">
        <v>579</v>
      </c>
      <c r="I19" s="281">
        <v>527</v>
      </c>
      <c r="J19" s="282" t="s">
        <v>579</v>
      </c>
      <c r="K19" s="281">
        <v>527</v>
      </c>
      <c r="L19" s="282" t="s">
        <v>9</v>
      </c>
    </row>
    <row r="20" spans="1:12" ht="11.25" customHeight="1">
      <c r="A20" s="279" t="s">
        <v>226</v>
      </c>
      <c r="C20" s="281">
        <v>12417</v>
      </c>
      <c r="E20" s="281">
        <v>12730</v>
      </c>
      <c r="G20" s="281">
        <v>12473</v>
      </c>
      <c r="I20" s="281">
        <v>12646</v>
      </c>
      <c r="J20" s="282" t="s">
        <v>579</v>
      </c>
      <c r="K20" s="281">
        <v>13600</v>
      </c>
    </row>
    <row r="21" spans="1:12" ht="12" customHeight="1">
      <c r="A21" s="279" t="s">
        <v>582</v>
      </c>
      <c r="C21" s="281">
        <v>1323</v>
      </c>
      <c r="D21" s="282" t="s">
        <v>579</v>
      </c>
      <c r="E21" s="281">
        <v>1079</v>
      </c>
      <c r="F21" s="282" t="s">
        <v>579</v>
      </c>
      <c r="G21" s="281">
        <v>1112</v>
      </c>
      <c r="H21" s="282" t="s">
        <v>579</v>
      </c>
      <c r="I21" s="281">
        <v>1153</v>
      </c>
      <c r="J21" s="282" t="s">
        <v>579</v>
      </c>
      <c r="K21" s="281">
        <v>1150</v>
      </c>
      <c r="L21" s="282" t="s">
        <v>9</v>
      </c>
    </row>
    <row r="22" spans="1:12" ht="12" customHeight="1">
      <c r="A22" s="279" t="s">
        <v>583</v>
      </c>
      <c r="C22" s="281">
        <v>779040</v>
      </c>
      <c r="D22" s="282" t="s">
        <v>579</v>
      </c>
      <c r="E22" s="281">
        <v>822300</v>
      </c>
      <c r="F22" s="282" t="s">
        <v>579</v>
      </c>
      <c r="G22" s="281">
        <v>803820</v>
      </c>
      <c r="H22" s="282" t="s">
        <v>579</v>
      </c>
      <c r="I22" s="281">
        <v>808366</v>
      </c>
      <c r="J22" s="282" t="s">
        <v>579</v>
      </c>
      <c r="K22" s="281">
        <v>831700</v>
      </c>
    </row>
    <row r="23" spans="1:12" ht="11.25" customHeight="1">
      <c r="A23" s="279" t="s">
        <v>20</v>
      </c>
      <c r="C23" s="281">
        <v>1236</v>
      </c>
      <c r="D23" s="282" t="s">
        <v>579</v>
      </c>
      <c r="E23" s="281">
        <v>1208</v>
      </c>
      <c r="F23" s="282" t="s">
        <v>579</v>
      </c>
      <c r="G23" s="281">
        <v>1211</v>
      </c>
      <c r="H23" s="282" t="s">
        <v>579</v>
      </c>
      <c r="I23" s="281">
        <v>1272</v>
      </c>
      <c r="J23" s="282" t="s">
        <v>579</v>
      </c>
      <c r="K23" s="281">
        <v>1300</v>
      </c>
    </row>
    <row r="24" spans="1:12" ht="11.25" customHeight="1">
      <c r="A24" s="279" t="s">
        <v>317</v>
      </c>
      <c r="C24" s="281">
        <v>135</v>
      </c>
      <c r="D24" s="282" t="s">
        <v>579</v>
      </c>
      <c r="E24" s="281">
        <v>167</v>
      </c>
      <c r="F24" s="282" t="s">
        <v>579</v>
      </c>
      <c r="G24" s="281">
        <v>122</v>
      </c>
      <c r="H24" s="282" t="s">
        <v>579</v>
      </c>
      <c r="I24" s="284" t="s">
        <v>12</v>
      </c>
      <c r="J24" s="282" t="s">
        <v>579</v>
      </c>
      <c r="K24" s="284" t="s">
        <v>12</v>
      </c>
      <c r="L24" s="282" t="s">
        <v>9</v>
      </c>
    </row>
    <row r="25" spans="1:12" ht="11.25" customHeight="1">
      <c r="A25" s="279" t="s">
        <v>318</v>
      </c>
      <c r="C25" s="281">
        <v>267</v>
      </c>
      <c r="D25" s="282" t="s">
        <v>579</v>
      </c>
      <c r="E25" s="281">
        <v>258</v>
      </c>
      <c r="F25" s="282" t="s">
        <v>579</v>
      </c>
      <c r="G25" s="281">
        <v>222</v>
      </c>
      <c r="H25" s="282" t="s">
        <v>579</v>
      </c>
      <c r="I25" s="281">
        <v>244</v>
      </c>
      <c r="J25" s="282" t="s">
        <v>579</v>
      </c>
      <c r="K25" s="281">
        <v>244</v>
      </c>
      <c r="L25" s="282" t="s">
        <v>9</v>
      </c>
    </row>
    <row r="26" spans="1:12" ht="11.25" customHeight="1">
      <c r="A26" s="279" t="s">
        <v>584</v>
      </c>
      <c r="C26" s="281">
        <v>5171</v>
      </c>
      <c r="D26" s="282" t="s">
        <v>579</v>
      </c>
      <c r="E26" s="281">
        <v>5360</v>
      </c>
      <c r="F26" s="282" t="s">
        <v>579</v>
      </c>
      <c r="G26" s="281">
        <v>5262</v>
      </c>
      <c r="H26" s="282" t="s">
        <v>579</v>
      </c>
      <c r="I26" s="281">
        <v>5305</v>
      </c>
      <c r="J26" s="282" t="s">
        <v>579</v>
      </c>
      <c r="K26" s="281">
        <v>4600</v>
      </c>
    </row>
    <row r="27" spans="1:12" ht="11.25" customHeight="1">
      <c r="A27" s="279" t="s">
        <v>322</v>
      </c>
      <c r="C27" s="281">
        <v>570</v>
      </c>
      <c r="D27" s="282" t="s">
        <v>579</v>
      </c>
      <c r="E27" s="281">
        <v>667</v>
      </c>
      <c r="F27" s="282" t="s">
        <v>579</v>
      </c>
      <c r="G27" s="281">
        <v>720</v>
      </c>
      <c r="H27" s="282" t="s">
        <v>579</v>
      </c>
      <c r="I27" s="281">
        <v>576</v>
      </c>
      <c r="J27" s="282" t="s">
        <v>579</v>
      </c>
      <c r="K27" s="281">
        <v>576</v>
      </c>
      <c r="L27" s="282" t="s">
        <v>9</v>
      </c>
    </row>
    <row r="28" spans="1:12" ht="11.25" customHeight="1">
      <c r="A28" s="279" t="s">
        <v>21</v>
      </c>
      <c r="C28" s="281">
        <v>6754</v>
      </c>
      <c r="D28" s="282" t="s">
        <v>579</v>
      </c>
      <c r="E28" s="281">
        <v>6485</v>
      </c>
      <c r="F28" s="282" t="s">
        <v>579</v>
      </c>
      <c r="G28" s="281">
        <v>5506</v>
      </c>
      <c r="H28" s="282" t="s">
        <v>579</v>
      </c>
      <c r="I28" s="281">
        <v>5036</v>
      </c>
      <c r="J28" s="282" t="s">
        <v>579</v>
      </c>
      <c r="K28" s="281">
        <v>6900</v>
      </c>
    </row>
    <row r="29" spans="1:12" ht="11.25" customHeight="1">
      <c r="A29" s="279" t="s">
        <v>323</v>
      </c>
      <c r="C29" s="281">
        <v>118</v>
      </c>
      <c r="D29" s="282" t="s">
        <v>579</v>
      </c>
      <c r="E29" s="281">
        <v>121</v>
      </c>
      <c r="F29" s="282" t="s">
        <v>579</v>
      </c>
      <c r="G29" s="281">
        <v>124</v>
      </c>
      <c r="H29" s="282" t="s">
        <v>579</v>
      </c>
      <c r="I29" s="281">
        <v>100</v>
      </c>
      <c r="J29" s="282" t="s">
        <v>579</v>
      </c>
      <c r="K29" s="281">
        <v>100</v>
      </c>
      <c r="L29" s="282" t="s">
        <v>9</v>
      </c>
    </row>
    <row r="30" spans="1:12" ht="12.5" customHeight="1">
      <c r="A30" s="279" t="s">
        <v>585</v>
      </c>
      <c r="C30" s="284" t="s">
        <v>12</v>
      </c>
      <c r="D30" s="282" t="s">
        <v>579</v>
      </c>
      <c r="E30" s="284" t="s">
        <v>12</v>
      </c>
      <c r="F30" s="282" t="s">
        <v>579</v>
      </c>
      <c r="G30" s="284" t="s">
        <v>12</v>
      </c>
      <c r="H30" s="282" t="s">
        <v>579</v>
      </c>
      <c r="I30" s="281">
        <v>690</v>
      </c>
      <c r="J30" s="282" t="s">
        <v>579</v>
      </c>
      <c r="K30" s="281">
        <v>690</v>
      </c>
    </row>
    <row r="31" spans="1:12" ht="11.25" customHeight="1">
      <c r="A31" s="279" t="s">
        <v>267</v>
      </c>
      <c r="C31" s="281">
        <v>3517</v>
      </c>
      <c r="D31" s="282" t="s">
        <v>579</v>
      </c>
      <c r="E31" s="281">
        <v>3807</v>
      </c>
      <c r="F31" s="282" t="s">
        <v>579</v>
      </c>
      <c r="G31" s="281">
        <v>3988</v>
      </c>
      <c r="H31" s="282" t="s">
        <v>579</v>
      </c>
      <c r="I31" s="281">
        <v>4101</v>
      </c>
      <c r="J31" s="282" t="s">
        <v>579</v>
      </c>
      <c r="K31" s="281">
        <v>4000</v>
      </c>
    </row>
    <row r="32" spans="1:12" ht="11.25" customHeight="1">
      <c r="A32" s="279" t="s">
        <v>268</v>
      </c>
      <c r="C32" s="281">
        <v>15685</v>
      </c>
      <c r="D32" s="282" t="s">
        <v>579</v>
      </c>
      <c r="E32" s="281">
        <v>16143</v>
      </c>
      <c r="F32" s="282" t="s">
        <v>579</v>
      </c>
      <c r="G32" s="281">
        <v>14984</v>
      </c>
      <c r="H32" s="282" t="s">
        <v>579</v>
      </c>
      <c r="I32" s="281">
        <v>14413</v>
      </c>
      <c r="J32" s="282" t="s">
        <v>579</v>
      </c>
      <c r="K32" s="281">
        <v>15500</v>
      </c>
    </row>
    <row r="33" spans="1:12" ht="11.25" customHeight="1">
      <c r="A33" s="279" t="s">
        <v>22</v>
      </c>
      <c r="C33" s="281">
        <v>42645</v>
      </c>
      <c r="E33" s="281">
        <v>42943</v>
      </c>
      <c r="G33" s="281">
        <v>42676</v>
      </c>
      <c r="I33" s="281">
        <v>42080</v>
      </c>
      <c r="J33" s="282" t="s">
        <v>579</v>
      </c>
      <c r="K33" s="281">
        <v>43400</v>
      </c>
    </row>
    <row r="34" spans="1:12" ht="11.25" customHeight="1">
      <c r="A34" s="279" t="s">
        <v>326</v>
      </c>
      <c r="C34" s="281">
        <v>1030</v>
      </c>
      <c r="D34" s="282" t="s">
        <v>579</v>
      </c>
      <c r="E34" s="281">
        <v>1022</v>
      </c>
      <c r="F34" s="282" t="s">
        <v>579</v>
      </c>
      <c r="G34" s="281">
        <v>910</v>
      </c>
      <c r="H34" s="282" t="s">
        <v>579</v>
      </c>
      <c r="I34" s="281">
        <v>1158</v>
      </c>
      <c r="J34" s="282" t="s">
        <v>579</v>
      </c>
      <c r="K34" s="281">
        <v>1400</v>
      </c>
    </row>
    <row r="35" spans="1:12" ht="11.25" customHeight="1">
      <c r="A35" s="279" t="s">
        <v>23</v>
      </c>
      <c r="C35" s="281">
        <v>385</v>
      </c>
      <c r="D35" s="282" t="s">
        <v>579</v>
      </c>
      <c r="E35" s="281">
        <v>395</v>
      </c>
      <c r="F35" s="282" t="s">
        <v>579</v>
      </c>
      <c r="G35" s="281">
        <v>403</v>
      </c>
      <c r="H35" s="282" t="s">
        <v>579</v>
      </c>
      <c r="I35" s="281">
        <v>314</v>
      </c>
      <c r="J35" s="282" t="s">
        <v>579</v>
      </c>
      <c r="K35" s="281">
        <v>314</v>
      </c>
      <c r="L35" s="282" t="s">
        <v>9</v>
      </c>
    </row>
    <row r="36" spans="1:12" ht="11.25" customHeight="1">
      <c r="A36" s="279" t="s">
        <v>328</v>
      </c>
      <c r="C36" s="281">
        <v>883</v>
      </c>
      <c r="D36" s="282" t="s">
        <v>579</v>
      </c>
      <c r="E36" s="281">
        <v>1152</v>
      </c>
      <c r="F36" s="282" t="s">
        <v>579</v>
      </c>
      <c r="G36" s="281">
        <v>1675</v>
      </c>
      <c r="H36" s="282" t="s">
        <v>579</v>
      </c>
      <c r="I36" s="281">
        <v>1274</v>
      </c>
      <c r="J36" s="282" t="s">
        <v>579</v>
      </c>
      <c r="K36" s="281">
        <v>1900</v>
      </c>
    </row>
    <row r="37" spans="1:12" ht="11.25" customHeight="1">
      <c r="A37" s="279" t="s">
        <v>24</v>
      </c>
      <c r="C37" s="281">
        <v>81299</v>
      </c>
      <c r="D37" s="282" t="s">
        <v>579</v>
      </c>
      <c r="E37" s="281">
        <v>87292</v>
      </c>
      <c r="F37" s="282" t="s">
        <v>579</v>
      </c>
      <c r="G37" s="281">
        <v>89026</v>
      </c>
      <c r="H37" s="282" t="s">
        <v>579</v>
      </c>
      <c r="I37" s="281">
        <v>95477</v>
      </c>
      <c r="J37" s="282" t="s">
        <v>579</v>
      </c>
      <c r="K37" s="281">
        <v>101400</v>
      </c>
    </row>
    <row r="38" spans="1:12" ht="11.25" customHeight="1">
      <c r="A38" s="279" t="s">
        <v>25</v>
      </c>
      <c r="C38" s="281">
        <v>2644</v>
      </c>
      <c r="E38" s="281">
        <v>4428</v>
      </c>
      <c r="G38" s="281">
        <v>4854</v>
      </c>
      <c r="H38" s="282" t="s">
        <v>579</v>
      </c>
      <c r="I38" s="281">
        <v>4746</v>
      </c>
      <c r="J38" s="282" t="s">
        <v>579</v>
      </c>
      <c r="K38" s="281">
        <v>4800</v>
      </c>
      <c r="L38" s="282" t="s">
        <v>9</v>
      </c>
    </row>
    <row r="39" spans="1:12" ht="11.25" customHeight="1">
      <c r="A39" s="279" t="s">
        <v>230</v>
      </c>
      <c r="C39" s="281">
        <v>15422</v>
      </c>
      <c r="E39" s="281">
        <v>16331</v>
      </c>
      <c r="G39" s="281">
        <v>16146</v>
      </c>
      <c r="H39" s="282" t="s">
        <v>579</v>
      </c>
      <c r="I39" s="281">
        <v>17895</v>
      </c>
      <c r="J39" s="282" t="s">
        <v>579</v>
      </c>
      <c r="K39" s="281">
        <v>21200</v>
      </c>
    </row>
    <row r="40" spans="1:12" ht="12" customHeight="1">
      <c r="A40" s="279" t="s">
        <v>586</v>
      </c>
      <c r="C40" s="281">
        <v>300</v>
      </c>
      <c r="D40" s="282" t="s">
        <v>579</v>
      </c>
      <c r="E40" s="281">
        <v>300</v>
      </c>
      <c r="F40" s="282" t="s">
        <v>579</v>
      </c>
      <c r="G40" s="281">
        <v>300</v>
      </c>
      <c r="H40" s="282" t="s">
        <v>579</v>
      </c>
      <c r="I40" s="281">
        <v>300</v>
      </c>
      <c r="J40" s="282" t="s">
        <v>579</v>
      </c>
      <c r="K40" s="281">
        <v>300</v>
      </c>
    </row>
    <row r="41" spans="1:12" ht="11.25" customHeight="1">
      <c r="A41" s="279" t="s">
        <v>272</v>
      </c>
      <c r="C41" s="281">
        <v>23093</v>
      </c>
      <c r="D41" s="282" t="s">
        <v>579</v>
      </c>
      <c r="E41" s="281">
        <v>23714</v>
      </c>
      <c r="F41" s="282" t="s">
        <v>579</v>
      </c>
      <c r="G41" s="281">
        <v>22000</v>
      </c>
      <c r="H41" s="282" t="s">
        <v>9</v>
      </c>
      <c r="I41" s="281">
        <v>23373</v>
      </c>
      <c r="J41" s="282" t="s">
        <v>579</v>
      </c>
      <c r="K41" s="281">
        <v>24100</v>
      </c>
    </row>
    <row r="42" spans="1:12" ht="11.25" customHeight="1">
      <c r="A42" s="279" t="s">
        <v>26</v>
      </c>
      <c r="C42" s="281">
        <v>110595</v>
      </c>
      <c r="D42" s="282" t="s">
        <v>579</v>
      </c>
      <c r="E42" s="281">
        <v>110666</v>
      </c>
      <c r="F42" s="282" t="s">
        <v>579</v>
      </c>
      <c r="G42" s="281">
        <v>105134</v>
      </c>
      <c r="H42" s="282" t="s">
        <v>579</v>
      </c>
      <c r="I42" s="281">
        <v>104775</v>
      </c>
      <c r="J42" s="282" t="s">
        <v>579</v>
      </c>
      <c r="K42" s="281">
        <v>104700</v>
      </c>
    </row>
    <row r="43" spans="1:12" ht="11.25" customHeight="1">
      <c r="A43" s="279" t="s">
        <v>28</v>
      </c>
      <c r="C43" s="281">
        <v>2738</v>
      </c>
      <c r="D43" s="282" t="s">
        <v>579</v>
      </c>
      <c r="E43" s="281">
        <v>2909</v>
      </c>
      <c r="F43" s="282" t="s">
        <v>579</v>
      </c>
      <c r="G43" s="281">
        <v>2948</v>
      </c>
      <c r="H43" s="282" t="s">
        <v>579</v>
      </c>
      <c r="I43" s="281">
        <v>4236</v>
      </c>
      <c r="J43" s="282" t="s">
        <v>579</v>
      </c>
      <c r="K43" s="281">
        <v>4500</v>
      </c>
    </row>
    <row r="44" spans="1:12" ht="11.25" customHeight="1">
      <c r="A44" s="279" t="s">
        <v>29</v>
      </c>
      <c r="C44" s="281">
        <v>360</v>
      </c>
      <c r="D44" s="282" t="s">
        <v>8</v>
      </c>
      <c r="E44" s="281">
        <v>370</v>
      </c>
      <c r="F44" s="282" t="s">
        <v>8</v>
      </c>
      <c r="G44" s="281">
        <v>360</v>
      </c>
      <c r="H44" s="282" t="s">
        <v>8</v>
      </c>
      <c r="I44" s="281">
        <v>410</v>
      </c>
      <c r="J44" s="282" t="s">
        <v>79</v>
      </c>
      <c r="K44" s="281">
        <v>430</v>
      </c>
      <c r="L44" s="282" t="s">
        <v>9</v>
      </c>
    </row>
    <row r="45" spans="1:12" ht="11.25" customHeight="1">
      <c r="A45" s="279" t="s">
        <v>231</v>
      </c>
      <c r="C45" s="281">
        <v>1210</v>
      </c>
      <c r="D45" s="282" t="s">
        <v>579</v>
      </c>
      <c r="E45" s="281">
        <v>1220</v>
      </c>
      <c r="F45" s="282" t="s">
        <v>579</v>
      </c>
      <c r="G45" s="281">
        <v>1079</v>
      </c>
      <c r="H45" s="282" t="s">
        <v>579</v>
      </c>
      <c r="I45" s="281">
        <v>1250</v>
      </c>
      <c r="J45" s="282" t="s">
        <v>579</v>
      </c>
      <c r="K45" s="281">
        <v>1300</v>
      </c>
      <c r="L45" s="282" t="s">
        <v>9</v>
      </c>
    </row>
    <row r="46" spans="1:12" ht="11.25" customHeight="1">
      <c r="A46" s="279" t="s">
        <v>31</v>
      </c>
      <c r="C46" s="281">
        <v>66061</v>
      </c>
      <c r="D46" s="282" t="s">
        <v>579</v>
      </c>
      <c r="E46" s="281">
        <v>71542</v>
      </c>
      <c r="F46" s="282" t="s">
        <v>579</v>
      </c>
      <c r="G46" s="281">
        <v>69670</v>
      </c>
      <c r="H46" s="282" t="s">
        <v>579</v>
      </c>
      <c r="I46" s="281">
        <v>68576</v>
      </c>
      <c r="J46" s="282" t="s">
        <v>579</v>
      </c>
      <c r="K46" s="281">
        <v>71000</v>
      </c>
    </row>
    <row r="47" spans="1:12" ht="11.25" customHeight="1">
      <c r="A47" s="279" t="s">
        <v>333</v>
      </c>
      <c r="C47" s="281">
        <v>198</v>
      </c>
      <c r="D47" s="282" t="s">
        <v>579</v>
      </c>
      <c r="E47" s="284" t="s">
        <v>12</v>
      </c>
      <c r="F47" s="282" t="s">
        <v>579</v>
      </c>
      <c r="G47" s="284" t="s">
        <v>12</v>
      </c>
      <c r="H47" s="282" t="s">
        <v>579</v>
      </c>
      <c r="I47" s="284" t="s">
        <v>12</v>
      </c>
      <c r="J47" s="282" t="s">
        <v>579</v>
      </c>
      <c r="K47" s="284" t="s">
        <v>12</v>
      </c>
      <c r="L47" s="282" t="s">
        <v>9</v>
      </c>
    </row>
    <row r="48" spans="1:12" ht="11.25" customHeight="1">
      <c r="A48" s="279" t="s">
        <v>334</v>
      </c>
      <c r="C48" s="281">
        <v>712</v>
      </c>
      <c r="D48" s="282" t="s">
        <v>579</v>
      </c>
      <c r="E48" s="281">
        <v>712</v>
      </c>
      <c r="F48" s="282" t="s">
        <v>579</v>
      </c>
      <c r="G48" s="281">
        <v>352</v>
      </c>
      <c r="H48" s="282" t="s">
        <v>579</v>
      </c>
      <c r="I48" s="281">
        <v>492</v>
      </c>
      <c r="J48" s="282" t="s">
        <v>579</v>
      </c>
      <c r="K48" s="281">
        <v>600</v>
      </c>
    </row>
    <row r="49" spans="1:12" ht="11.25" customHeight="1">
      <c r="A49" s="279" t="s">
        <v>335</v>
      </c>
      <c r="C49" s="281">
        <v>2090</v>
      </c>
      <c r="D49" s="282" t="s">
        <v>579</v>
      </c>
      <c r="E49" s="281">
        <v>2193</v>
      </c>
      <c r="F49" s="282" t="s">
        <v>579</v>
      </c>
      <c r="G49" s="281">
        <v>2127</v>
      </c>
      <c r="H49" s="282" t="s">
        <v>579</v>
      </c>
      <c r="I49" s="281">
        <v>2175</v>
      </c>
      <c r="J49" s="282" t="s">
        <v>579</v>
      </c>
      <c r="K49" s="281">
        <v>2172</v>
      </c>
    </row>
    <row r="50" spans="1:12" ht="11.25" customHeight="1">
      <c r="A50" s="279" t="s">
        <v>336</v>
      </c>
      <c r="C50" s="281">
        <v>146</v>
      </c>
      <c r="D50" s="282" t="s">
        <v>579</v>
      </c>
      <c r="E50" s="281">
        <v>196</v>
      </c>
      <c r="F50" s="282" t="s">
        <v>579</v>
      </c>
      <c r="G50" s="281">
        <v>165</v>
      </c>
      <c r="H50" s="282" t="s">
        <v>579</v>
      </c>
      <c r="I50" s="281">
        <v>239</v>
      </c>
      <c r="J50" s="282" t="s">
        <v>8</v>
      </c>
      <c r="K50" s="281">
        <v>238</v>
      </c>
    </row>
    <row r="51" spans="1:12" ht="11.25" customHeight="1">
      <c r="A51" s="279" t="s">
        <v>32</v>
      </c>
      <c r="C51" s="281">
        <v>4693</v>
      </c>
      <c r="D51" s="282" t="s">
        <v>579</v>
      </c>
      <c r="E51" s="281">
        <v>4316</v>
      </c>
      <c r="F51" s="282" t="s">
        <v>579</v>
      </c>
      <c r="G51" s="281">
        <v>3784</v>
      </c>
      <c r="H51" s="282" t="s">
        <v>579</v>
      </c>
      <c r="I51" s="281">
        <v>2764</v>
      </c>
      <c r="K51" s="281">
        <v>2800</v>
      </c>
      <c r="L51" s="282" t="s">
        <v>9</v>
      </c>
    </row>
    <row r="52" spans="1:12" ht="12" customHeight="1">
      <c r="A52" s="279" t="s">
        <v>587</v>
      </c>
      <c r="C52" s="281">
        <v>5</v>
      </c>
      <c r="D52" s="282" t="s">
        <v>579</v>
      </c>
      <c r="E52" s="281">
        <v>5</v>
      </c>
      <c r="F52" s="282" t="s">
        <v>579</v>
      </c>
      <c r="G52" s="281">
        <v>5</v>
      </c>
      <c r="H52" s="282" t="s">
        <v>579</v>
      </c>
      <c r="I52" s="281">
        <v>5</v>
      </c>
      <c r="J52" s="282" t="s">
        <v>579</v>
      </c>
      <c r="K52" s="281">
        <v>5</v>
      </c>
    </row>
    <row r="53" spans="1:12" ht="11.25" customHeight="1">
      <c r="A53" s="279" t="s">
        <v>234</v>
      </c>
      <c r="C53" s="281">
        <v>18242</v>
      </c>
      <c r="D53" s="282" t="s">
        <v>579</v>
      </c>
      <c r="E53" s="281">
        <v>18930</v>
      </c>
      <c r="F53" s="282" t="s">
        <v>579</v>
      </c>
      <c r="G53" s="281">
        <v>18200</v>
      </c>
      <c r="H53" s="282" t="s">
        <v>9</v>
      </c>
      <c r="I53" s="281">
        <v>18809</v>
      </c>
      <c r="J53" s="282" t="s">
        <v>579</v>
      </c>
      <c r="K53" s="281">
        <v>19900</v>
      </c>
    </row>
    <row r="54" spans="1:12" ht="11.25" customHeight="1">
      <c r="A54" s="279" t="s">
        <v>337</v>
      </c>
      <c r="C54" s="281">
        <v>190</v>
      </c>
      <c r="D54" s="282" t="s">
        <v>579</v>
      </c>
      <c r="E54" s="281">
        <v>344</v>
      </c>
      <c r="F54" s="282" t="s">
        <v>579</v>
      </c>
      <c r="G54" s="281">
        <v>430</v>
      </c>
      <c r="H54" s="282" t="s">
        <v>579</v>
      </c>
      <c r="I54" s="281">
        <v>128</v>
      </c>
      <c r="J54" s="282" t="s">
        <v>79</v>
      </c>
      <c r="K54" s="281">
        <v>469</v>
      </c>
    </row>
    <row r="55" spans="1:12" ht="12.5" customHeight="1">
      <c r="A55" s="279" t="s">
        <v>588</v>
      </c>
      <c r="C55" s="284" t="s">
        <v>12</v>
      </c>
      <c r="D55" s="282" t="s">
        <v>8</v>
      </c>
      <c r="E55" s="284" t="s">
        <v>12</v>
      </c>
      <c r="F55" s="282" t="s">
        <v>8</v>
      </c>
      <c r="G55" s="284" t="s">
        <v>12</v>
      </c>
      <c r="H55" s="282" t="s">
        <v>8</v>
      </c>
      <c r="I55" s="281">
        <v>50</v>
      </c>
      <c r="K55" s="281">
        <v>50</v>
      </c>
    </row>
    <row r="56" spans="1:12" ht="11.25" customHeight="1">
      <c r="A56" s="279" t="s">
        <v>438</v>
      </c>
      <c r="C56" s="281">
        <v>70</v>
      </c>
      <c r="D56" s="282" t="s">
        <v>579</v>
      </c>
      <c r="E56" s="281">
        <v>140</v>
      </c>
      <c r="F56" s="282" t="s">
        <v>579</v>
      </c>
      <c r="G56" s="281">
        <v>150</v>
      </c>
      <c r="H56" s="282" t="s">
        <v>579</v>
      </c>
      <c r="I56" s="281">
        <v>120</v>
      </c>
      <c r="J56" s="282" t="s">
        <v>579</v>
      </c>
      <c r="K56" s="281">
        <v>120</v>
      </c>
      <c r="L56" s="282" t="s">
        <v>9</v>
      </c>
    </row>
    <row r="57" spans="1:12" ht="11.25" customHeight="1">
      <c r="A57" s="279" t="s">
        <v>34</v>
      </c>
      <c r="C57" s="281">
        <v>558</v>
      </c>
      <c r="D57" s="282" t="s">
        <v>579</v>
      </c>
      <c r="E57" s="281">
        <v>500</v>
      </c>
      <c r="F57" s="282" t="s">
        <v>579</v>
      </c>
      <c r="G57" s="281">
        <v>516</v>
      </c>
      <c r="H57" s="282" t="s">
        <v>9</v>
      </c>
      <c r="I57" s="281">
        <v>520</v>
      </c>
      <c r="J57" s="282" t="s">
        <v>579</v>
      </c>
      <c r="K57" s="281">
        <v>520</v>
      </c>
      <c r="L57" s="282" t="s">
        <v>9</v>
      </c>
    </row>
    <row r="58" spans="1:12" ht="11.25" customHeight="1">
      <c r="A58" s="279" t="s">
        <v>339</v>
      </c>
      <c r="C58" s="281">
        <v>6713</v>
      </c>
      <c r="D58" s="282" t="s">
        <v>579</v>
      </c>
      <c r="E58" s="281">
        <v>6964</v>
      </c>
      <c r="F58" s="282" t="s">
        <v>579</v>
      </c>
      <c r="G58" s="281">
        <v>6995</v>
      </c>
      <c r="H58" s="282" t="s">
        <v>579</v>
      </c>
      <c r="I58" s="281">
        <v>6917</v>
      </c>
      <c r="J58" s="282" t="s">
        <v>579</v>
      </c>
      <c r="K58" s="281">
        <v>6800</v>
      </c>
    </row>
    <row r="59" spans="1:12" ht="11.25" customHeight="1">
      <c r="A59" s="279" t="s">
        <v>277</v>
      </c>
      <c r="C59" s="281">
        <v>900</v>
      </c>
      <c r="D59" s="282" t="s">
        <v>9</v>
      </c>
      <c r="E59" s="281">
        <v>859</v>
      </c>
      <c r="F59" s="282" t="s">
        <v>579</v>
      </c>
      <c r="G59" s="281">
        <v>793</v>
      </c>
      <c r="H59" s="282" t="s">
        <v>9</v>
      </c>
      <c r="I59" s="281">
        <v>577</v>
      </c>
      <c r="J59" s="282" t="s">
        <v>579</v>
      </c>
      <c r="K59" s="281">
        <v>577</v>
      </c>
      <c r="L59" s="282" t="s">
        <v>9</v>
      </c>
    </row>
    <row r="60" spans="1:12" ht="12.5" customHeight="1">
      <c r="A60" s="279" t="s">
        <v>589</v>
      </c>
      <c r="C60" s="284" t="s">
        <v>12</v>
      </c>
      <c r="D60" s="282" t="s">
        <v>579</v>
      </c>
      <c r="E60" s="284" t="s">
        <v>12</v>
      </c>
      <c r="F60" s="282" t="s">
        <v>579</v>
      </c>
      <c r="G60" s="284" t="s">
        <v>12</v>
      </c>
      <c r="H60" s="282" t="s">
        <v>579</v>
      </c>
      <c r="I60" s="281">
        <v>100</v>
      </c>
      <c r="J60" s="282" t="s">
        <v>579</v>
      </c>
      <c r="K60" s="281">
        <v>100</v>
      </c>
    </row>
    <row r="61" spans="1:12" ht="11.25" customHeight="1">
      <c r="A61" s="279" t="s">
        <v>35</v>
      </c>
      <c r="C61" s="281">
        <v>605</v>
      </c>
      <c r="D61" s="282" t="s">
        <v>9</v>
      </c>
      <c r="E61" s="281">
        <v>600</v>
      </c>
      <c r="F61" s="282" t="s">
        <v>9</v>
      </c>
      <c r="G61" s="281">
        <v>590</v>
      </c>
      <c r="H61" s="282" t="s">
        <v>9</v>
      </c>
      <c r="I61" s="281">
        <v>620</v>
      </c>
      <c r="K61" s="281">
        <v>620</v>
      </c>
      <c r="L61" s="282" t="s">
        <v>9</v>
      </c>
    </row>
    <row r="62" spans="1:12" ht="12" customHeight="1">
      <c r="A62" s="279" t="s">
        <v>590</v>
      </c>
      <c r="C62" s="281">
        <v>500</v>
      </c>
      <c r="D62" s="282" t="s">
        <v>579</v>
      </c>
      <c r="E62" s="281">
        <v>1500</v>
      </c>
      <c r="F62" s="282" t="s">
        <v>579</v>
      </c>
      <c r="G62" s="281">
        <v>2000</v>
      </c>
      <c r="H62" s="282" t="s">
        <v>579</v>
      </c>
      <c r="I62" s="281">
        <v>2000</v>
      </c>
      <c r="J62" s="282" t="s">
        <v>579</v>
      </c>
      <c r="K62" s="281">
        <v>2000</v>
      </c>
    </row>
    <row r="63" spans="1:12" ht="11.25" customHeight="1">
      <c r="A63" s="279" t="s">
        <v>236</v>
      </c>
      <c r="C63" s="281">
        <v>1845</v>
      </c>
      <c r="D63" s="282" t="s">
        <v>579</v>
      </c>
      <c r="E63" s="281">
        <v>2423</v>
      </c>
      <c r="F63" s="282" t="s">
        <v>579</v>
      </c>
      <c r="G63" s="281">
        <v>2892</v>
      </c>
      <c r="H63" s="282" t="s">
        <v>579</v>
      </c>
      <c r="I63" s="281">
        <v>3553</v>
      </c>
      <c r="J63" s="282" t="s">
        <v>579</v>
      </c>
      <c r="K63" s="281">
        <v>5000</v>
      </c>
    </row>
    <row r="64" spans="1:12" ht="11.25" customHeight="1">
      <c r="A64" s="279" t="s">
        <v>280</v>
      </c>
      <c r="C64" s="281">
        <v>45</v>
      </c>
      <c r="D64" s="282" t="s">
        <v>579</v>
      </c>
      <c r="E64" s="281">
        <v>47</v>
      </c>
      <c r="F64" s="282" t="s">
        <v>579</v>
      </c>
      <c r="G64" s="281">
        <v>48</v>
      </c>
      <c r="H64" s="282" t="s">
        <v>579</v>
      </c>
      <c r="I64" s="281">
        <v>35</v>
      </c>
      <c r="J64" s="282" t="s">
        <v>579</v>
      </c>
      <c r="K64" s="281">
        <v>24</v>
      </c>
    </row>
    <row r="65" spans="1:12" ht="11.25" customHeight="1">
      <c r="A65" s="279" t="s">
        <v>36</v>
      </c>
      <c r="B65" s="285"/>
      <c r="C65" s="286">
        <v>1069</v>
      </c>
      <c r="D65" s="287" t="s">
        <v>579</v>
      </c>
      <c r="E65" s="286">
        <v>1078</v>
      </c>
      <c r="F65" s="287" t="s">
        <v>579</v>
      </c>
      <c r="G65" s="286">
        <v>1082</v>
      </c>
      <c r="H65" s="287" t="s">
        <v>579</v>
      </c>
      <c r="I65" s="286">
        <v>1168</v>
      </c>
      <c r="J65" s="287" t="s">
        <v>579</v>
      </c>
      <c r="K65" s="286">
        <v>1207</v>
      </c>
      <c r="L65" s="287"/>
    </row>
    <row r="66" spans="1:12" ht="11.25" customHeight="1">
      <c r="A66" s="433" t="s">
        <v>591</v>
      </c>
      <c r="B66" s="405"/>
      <c r="C66" s="405"/>
      <c r="D66" s="405"/>
      <c r="E66" s="405"/>
      <c r="F66" s="405"/>
      <c r="G66" s="405"/>
      <c r="H66" s="405"/>
      <c r="I66" s="405"/>
      <c r="J66" s="405"/>
      <c r="K66" s="405"/>
      <c r="L66" s="405"/>
    </row>
    <row r="67" spans="1:12" ht="11.25" customHeight="1">
      <c r="A67" s="430" t="s">
        <v>437</v>
      </c>
      <c r="B67" s="430"/>
      <c r="C67" s="430"/>
      <c r="D67" s="430"/>
      <c r="E67" s="430"/>
      <c r="F67" s="430"/>
      <c r="G67" s="430"/>
      <c r="H67" s="430"/>
      <c r="I67" s="430"/>
      <c r="J67" s="430"/>
      <c r="K67" s="430"/>
      <c r="L67" s="430"/>
    </row>
    <row r="68" spans="1:12" ht="11.25" customHeight="1">
      <c r="A68" s="430" t="s">
        <v>575</v>
      </c>
      <c r="B68" s="430"/>
      <c r="C68" s="430"/>
      <c r="D68" s="430"/>
      <c r="E68" s="430"/>
      <c r="F68" s="430"/>
      <c r="G68" s="430"/>
      <c r="H68" s="430"/>
      <c r="I68" s="430"/>
      <c r="J68" s="430"/>
      <c r="K68" s="430"/>
      <c r="L68" s="430"/>
    </row>
    <row r="69" spans="1:12" ht="11.25" customHeight="1">
      <c r="A69" s="431"/>
      <c r="B69" s="431"/>
      <c r="C69" s="431"/>
      <c r="D69" s="431"/>
      <c r="E69" s="431"/>
      <c r="F69" s="431"/>
      <c r="G69" s="431"/>
      <c r="H69" s="431"/>
      <c r="I69" s="431"/>
      <c r="J69" s="431"/>
      <c r="K69" s="431"/>
      <c r="L69" s="431"/>
    </row>
    <row r="70" spans="1:12" ht="11.25" customHeight="1">
      <c r="A70" s="430" t="s">
        <v>576</v>
      </c>
      <c r="B70" s="430"/>
      <c r="C70" s="430"/>
      <c r="D70" s="430"/>
      <c r="E70" s="430"/>
      <c r="F70" s="430"/>
      <c r="G70" s="430"/>
      <c r="H70" s="430"/>
      <c r="I70" s="430"/>
      <c r="J70" s="430"/>
      <c r="K70" s="430"/>
      <c r="L70" s="430"/>
    </row>
    <row r="71" spans="1:12" ht="11.25" customHeight="1">
      <c r="A71" s="436"/>
      <c r="B71" s="436"/>
      <c r="C71" s="436"/>
      <c r="D71" s="436"/>
      <c r="E71" s="436"/>
      <c r="F71" s="436"/>
      <c r="G71" s="436"/>
      <c r="H71" s="436"/>
      <c r="I71" s="436"/>
      <c r="J71" s="436"/>
      <c r="K71" s="436"/>
      <c r="L71" s="436"/>
    </row>
    <row r="72" spans="1:12" ht="12.5" customHeight="1">
      <c r="A72" s="296" t="s">
        <v>577</v>
      </c>
      <c r="B72" s="296"/>
      <c r="C72" s="277">
        <v>2013</v>
      </c>
      <c r="D72" s="276"/>
      <c r="E72" s="277">
        <v>2014</v>
      </c>
      <c r="F72" s="276"/>
      <c r="G72" s="277">
        <v>2015</v>
      </c>
      <c r="H72" s="276"/>
      <c r="I72" s="277">
        <v>2016</v>
      </c>
      <c r="J72" s="276"/>
      <c r="K72" s="277">
        <v>2017</v>
      </c>
      <c r="L72" s="276"/>
    </row>
    <row r="73" spans="1:12" ht="11.25" customHeight="1">
      <c r="A73" s="279" t="s">
        <v>237</v>
      </c>
      <c r="C73" s="281">
        <v>1308</v>
      </c>
      <c r="D73" s="282" t="s">
        <v>579</v>
      </c>
      <c r="E73" s="281">
        <v>1196</v>
      </c>
      <c r="F73" s="282" t="s">
        <v>579</v>
      </c>
      <c r="G73" s="281">
        <v>968</v>
      </c>
      <c r="H73" s="282" t="s">
        <v>579</v>
      </c>
      <c r="I73" s="281">
        <v>1075</v>
      </c>
      <c r="J73" s="282" t="s">
        <v>579</v>
      </c>
      <c r="K73" s="281">
        <v>1080</v>
      </c>
      <c r="L73" s="282" t="s">
        <v>9</v>
      </c>
    </row>
    <row r="74" spans="1:12" ht="11.25" customHeight="1">
      <c r="A74" s="279" t="s">
        <v>281</v>
      </c>
      <c r="C74" s="281">
        <v>8199</v>
      </c>
      <c r="D74" s="282" t="s">
        <v>579</v>
      </c>
      <c r="E74" s="281">
        <v>8800</v>
      </c>
      <c r="F74" s="282" t="s">
        <v>579</v>
      </c>
      <c r="G74" s="281">
        <v>9337</v>
      </c>
      <c r="H74" s="282" t="s">
        <v>579</v>
      </c>
      <c r="I74" s="281">
        <v>9001</v>
      </c>
      <c r="J74" s="282" t="s">
        <v>579</v>
      </c>
      <c r="K74" s="281">
        <v>10300</v>
      </c>
    </row>
    <row r="75" spans="1:12" ht="11.25" customHeight="1">
      <c r="A75" s="279" t="s">
        <v>340</v>
      </c>
      <c r="C75" s="281">
        <v>2050</v>
      </c>
      <c r="D75" s="282" t="s">
        <v>579</v>
      </c>
      <c r="E75" s="281">
        <v>2070</v>
      </c>
      <c r="F75" s="282" t="s">
        <v>579</v>
      </c>
      <c r="G75" s="281">
        <v>2030</v>
      </c>
      <c r="H75" s="282" t="s">
        <v>579</v>
      </c>
      <c r="I75" s="281">
        <v>2010</v>
      </c>
      <c r="J75" s="282" t="s">
        <v>579</v>
      </c>
      <c r="K75" s="281">
        <v>2100</v>
      </c>
      <c r="L75" s="282" t="s">
        <v>9</v>
      </c>
    </row>
    <row r="76" spans="1:12" ht="11.25" customHeight="1">
      <c r="A76" s="279" t="s">
        <v>341</v>
      </c>
      <c r="C76" s="281">
        <v>2536</v>
      </c>
      <c r="D76" s="282" t="s">
        <v>579</v>
      </c>
      <c r="E76" s="281">
        <v>3474</v>
      </c>
      <c r="F76" s="282" t="s">
        <v>579</v>
      </c>
      <c r="G76" s="281">
        <v>2593</v>
      </c>
      <c r="H76" s="282" t="s">
        <v>579</v>
      </c>
      <c r="I76" s="281">
        <v>2521</v>
      </c>
      <c r="J76" s="282" t="s">
        <v>579</v>
      </c>
      <c r="K76" s="281">
        <v>2644</v>
      </c>
    </row>
    <row r="77" spans="1:12" ht="11.25" customHeight="1">
      <c r="A77" s="279" t="s">
        <v>85</v>
      </c>
      <c r="C77" s="281">
        <v>3071</v>
      </c>
      <c r="D77" s="282" t="s">
        <v>579</v>
      </c>
      <c r="E77" s="281">
        <v>3193</v>
      </c>
      <c r="F77" s="282" t="s">
        <v>579</v>
      </c>
      <c r="G77" s="281">
        <v>3346</v>
      </c>
      <c r="H77" s="282" t="s">
        <v>579</v>
      </c>
      <c r="I77" s="281">
        <v>3276</v>
      </c>
      <c r="J77" s="282" t="s">
        <v>579</v>
      </c>
      <c r="K77" s="281">
        <v>3400</v>
      </c>
    </row>
    <row r="78" spans="1:12" ht="11.25" customHeight="1">
      <c r="A78" s="279" t="s">
        <v>37</v>
      </c>
      <c r="C78" s="281">
        <v>68861</v>
      </c>
      <c r="D78" s="282" t="s">
        <v>579</v>
      </c>
      <c r="E78" s="281">
        <v>70548</v>
      </c>
      <c r="F78" s="282" t="s">
        <v>579</v>
      </c>
      <c r="G78" s="281">
        <v>69421</v>
      </c>
      <c r="H78" s="282" t="s">
        <v>579</v>
      </c>
      <c r="I78" s="281">
        <v>70808</v>
      </c>
      <c r="J78" s="282" t="s">
        <v>579</v>
      </c>
      <c r="K78" s="281">
        <v>71300</v>
      </c>
    </row>
    <row r="79" spans="1:12" ht="12" customHeight="1">
      <c r="A79" s="279" t="s">
        <v>592</v>
      </c>
      <c r="C79" s="281">
        <v>15</v>
      </c>
      <c r="D79" s="282" t="s">
        <v>579</v>
      </c>
      <c r="E79" s="281">
        <v>15</v>
      </c>
      <c r="F79" s="282" t="s">
        <v>579</v>
      </c>
      <c r="G79" s="281">
        <v>15</v>
      </c>
      <c r="H79" s="282" t="s">
        <v>579</v>
      </c>
      <c r="I79" s="281">
        <v>19</v>
      </c>
      <c r="J79" s="282" t="s">
        <v>8</v>
      </c>
      <c r="K79" s="281">
        <v>23</v>
      </c>
    </row>
    <row r="80" spans="1:12" ht="11.25" customHeight="1">
      <c r="A80" s="279" t="s">
        <v>342</v>
      </c>
      <c r="C80" s="281">
        <v>5471</v>
      </c>
      <c r="D80" s="282" t="s">
        <v>579</v>
      </c>
      <c r="E80" s="281">
        <v>6291</v>
      </c>
      <c r="F80" s="282" t="s">
        <v>579</v>
      </c>
      <c r="G80" s="281">
        <v>5230</v>
      </c>
      <c r="H80" s="282" t="s">
        <v>79</v>
      </c>
      <c r="I80" s="281">
        <v>5461</v>
      </c>
      <c r="J80" s="282" t="s">
        <v>579</v>
      </c>
      <c r="K80" s="281">
        <v>4800</v>
      </c>
    </row>
    <row r="81" spans="1:12" ht="11.25" customHeight="1">
      <c r="A81" s="279" t="s">
        <v>398</v>
      </c>
      <c r="C81" s="281">
        <v>396</v>
      </c>
      <c r="D81" s="282" t="s">
        <v>579</v>
      </c>
      <c r="E81" s="281">
        <v>583</v>
      </c>
      <c r="F81" s="282" t="s">
        <v>579</v>
      </c>
      <c r="G81" s="281">
        <v>955</v>
      </c>
      <c r="H81" s="282" t="s">
        <v>579</v>
      </c>
      <c r="I81" s="281">
        <v>1173</v>
      </c>
      <c r="J81" s="282" t="s">
        <v>579</v>
      </c>
      <c r="K81" s="281">
        <v>1500</v>
      </c>
    </row>
    <row r="82" spans="1:12" ht="11.25" customHeight="1">
      <c r="A82" s="279" t="s">
        <v>593</v>
      </c>
      <c r="C82" s="281">
        <v>434</v>
      </c>
      <c r="D82" s="282" t="s">
        <v>579</v>
      </c>
      <c r="E82" s="281">
        <v>540</v>
      </c>
      <c r="F82" s="282" t="s">
        <v>579</v>
      </c>
      <c r="G82" s="281">
        <v>501</v>
      </c>
      <c r="H82" s="282" t="s">
        <v>579</v>
      </c>
      <c r="I82" s="281">
        <v>520</v>
      </c>
      <c r="J82" s="282" t="s">
        <v>579</v>
      </c>
      <c r="K82" s="281">
        <v>520</v>
      </c>
      <c r="L82" s="282" t="s">
        <v>9</v>
      </c>
    </row>
    <row r="83" spans="1:12" ht="11.25" customHeight="1">
      <c r="A83" s="279" t="s">
        <v>38</v>
      </c>
      <c r="C83" s="281">
        <v>4511</v>
      </c>
      <c r="D83" s="282" t="s">
        <v>579</v>
      </c>
      <c r="E83" s="281">
        <v>4705</v>
      </c>
      <c r="F83" s="282" t="s">
        <v>579</v>
      </c>
      <c r="G83" s="281">
        <v>4562</v>
      </c>
      <c r="H83" s="282" t="s">
        <v>579</v>
      </c>
      <c r="I83" s="281">
        <v>4808</v>
      </c>
      <c r="J83" s="282" t="s">
        <v>579</v>
      </c>
      <c r="K83" s="281">
        <v>5000</v>
      </c>
    </row>
    <row r="84" spans="1:12" ht="11.25" customHeight="1">
      <c r="A84" s="279" t="s">
        <v>345</v>
      </c>
      <c r="C84" s="281">
        <v>618</v>
      </c>
      <c r="D84" s="282" t="s">
        <v>579</v>
      </c>
      <c r="E84" s="281">
        <v>615</v>
      </c>
      <c r="F84" s="282" t="s">
        <v>579</v>
      </c>
      <c r="G84" s="281">
        <v>604</v>
      </c>
      <c r="H84" s="282" t="s">
        <v>579</v>
      </c>
      <c r="I84" s="281">
        <v>613</v>
      </c>
      <c r="J84" s="282" t="s">
        <v>579</v>
      </c>
      <c r="K84" s="281">
        <v>613</v>
      </c>
      <c r="L84" s="282" t="s">
        <v>9</v>
      </c>
    </row>
    <row r="85" spans="1:12" ht="11.25" customHeight="1">
      <c r="A85" s="279" t="s">
        <v>240</v>
      </c>
      <c r="C85" s="281">
        <v>7162</v>
      </c>
      <c r="D85" s="282" t="s">
        <v>579</v>
      </c>
      <c r="E85" s="281">
        <v>6412</v>
      </c>
      <c r="F85" s="282" t="s">
        <v>579</v>
      </c>
      <c r="G85" s="281">
        <v>6417</v>
      </c>
      <c r="H85" s="282" t="s">
        <v>579</v>
      </c>
      <c r="I85" s="281">
        <v>6141</v>
      </c>
      <c r="J85" s="282" t="s">
        <v>579</v>
      </c>
      <c r="K85" s="281">
        <v>6300</v>
      </c>
    </row>
    <row r="86" spans="1:12" ht="11.25" customHeight="1">
      <c r="A86" s="279" t="s">
        <v>288</v>
      </c>
      <c r="C86" s="281">
        <v>14252</v>
      </c>
      <c r="D86" s="282" t="s">
        <v>579</v>
      </c>
      <c r="E86" s="281">
        <v>14249</v>
      </c>
      <c r="F86" s="282" t="s">
        <v>579</v>
      </c>
      <c r="G86" s="281">
        <v>14845</v>
      </c>
      <c r="H86" s="282" t="s">
        <v>579</v>
      </c>
      <c r="I86" s="281">
        <v>13616</v>
      </c>
      <c r="J86" s="282" t="s">
        <v>579</v>
      </c>
      <c r="K86" s="281">
        <v>14500</v>
      </c>
    </row>
    <row r="87" spans="1:12" ht="11.25" customHeight="1">
      <c r="A87" s="279" t="s">
        <v>39</v>
      </c>
      <c r="C87" s="281">
        <v>4404</v>
      </c>
      <c r="E87" s="281">
        <v>4539</v>
      </c>
      <c r="G87" s="281">
        <v>4374</v>
      </c>
      <c r="I87" s="281">
        <v>4617</v>
      </c>
      <c r="K87" s="281">
        <v>4700</v>
      </c>
    </row>
    <row r="88" spans="1:12" ht="11.25" customHeight="1">
      <c r="A88" s="279" t="s">
        <v>347</v>
      </c>
      <c r="C88" s="281">
        <v>1530</v>
      </c>
      <c r="D88" s="282" t="s">
        <v>579</v>
      </c>
      <c r="E88" s="281">
        <v>1475</v>
      </c>
      <c r="F88" s="282" t="s">
        <v>579</v>
      </c>
      <c r="G88" s="281">
        <v>1480</v>
      </c>
      <c r="H88" s="282" t="s">
        <v>79</v>
      </c>
      <c r="I88" s="281">
        <v>1500</v>
      </c>
      <c r="J88" s="282" t="s">
        <v>579</v>
      </c>
      <c r="K88" s="281">
        <v>1500</v>
      </c>
      <c r="L88" s="282" t="s">
        <v>9</v>
      </c>
    </row>
    <row r="89" spans="1:12" ht="11.25" customHeight="1">
      <c r="A89" s="279" t="s">
        <v>515</v>
      </c>
      <c r="C89" s="281">
        <v>10</v>
      </c>
      <c r="D89" s="282" t="s">
        <v>579</v>
      </c>
      <c r="E89" s="281">
        <v>5</v>
      </c>
      <c r="F89" s="282" t="s">
        <v>579</v>
      </c>
      <c r="G89" s="281">
        <v>5</v>
      </c>
      <c r="H89" s="282" t="s">
        <v>579</v>
      </c>
      <c r="I89" s="281">
        <v>5</v>
      </c>
      <c r="J89" s="282" t="s">
        <v>579</v>
      </c>
      <c r="K89" s="281">
        <v>5</v>
      </c>
      <c r="L89" s="282" t="s">
        <v>9</v>
      </c>
    </row>
    <row r="90" spans="1:12" ht="11.25" customHeight="1">
      <c r="A90" s="279" t="s">
        <v>349</v>
      </c>
      <c r="C90" s="281">
        <v>22282</v>
      </c>
      <c r="D90" s="282" t="s">
        <v>579</v>
      </c>
      <c r="E90" s="281">
        <v>23121</v>
      </c>
      <c r="G90" s="281">
        <v>21392</v>
      </c>
      <c r="H90" s="282" t="s">
        <v>579</v>
      </c>
      <c r="I90" s="281">
        <v>21751</v>
      </c>
      <c r="J90" s="282" t="s">
        <v>579</v>
      </c>
      <c r="K90" s="281">
        <v>22000</v>
      </c>
      <c r="L90" s="282" t="s">
        <v>9</v>
      </c>
    </row>
    <row r="91" spans="1:12" ht="12" customHeight="1">
      <c r="A91" s="279" t="s">
        <v>594</v>
      </c>
      <c r="C91" s="284" t="s">
        <v>12</v>
      </c>
      <c r="D91" s="282" t="s">
        <v>579</v>
      </c>
      <c r="E91" s="284" t="s">
        <v>12</v>
      </c>
      <c r="F91" s="282" t="s">
        <v>579</v>
      </c>
      <c r="G91" s="284" t="s">
        <v>12</v>
      </c>
      <c r="H91" s="282" t="s">
        <v>579</v>
      </c>
      <c r="I91" s="281">
        <v>210</v>
      </c>
      <c r="J91" s="282" t="s">
        <v>579</v>
      </c>
      <c r="K91" s="281">
        <v>210</v>
      </c>
    </row>
    <row r="92" spans="1:12" ht="11.25" customHeight="1">
      <c r="A92" s="279" t="s">
        <v>40</v>
      </c>
      <c r="C92" s="281">
        <v>3579</v>
      </c>
      <c r="D92" s="282" t="s">
        <v>579</v>
      </c>
      <c r="E92" s="281">
        <v>4095</v>
      </c>
      <c r="G92" s="281">
        <v>3718</v>
      </c>
      <c r="H92" s="282" t="s">
        <v>579</v>
      </c>
      <c r="I92" s="281">
        <v>3825</v>
      </c>
      <c r="J92" s="282" t="s">
        <v>579</v>
      </c>
      <c r="K92" s="281">
        <v>4500</v>
      </c>
      <c r="L92" s="282" t="s">
        <v>9</v>
      </c>
    </row>
    <row r="93" spans="1:12" ht="11.25" customHeight="1">
      <c r="A93" s="279" t="s">
        <v>350</v>
      </c>
      <c r="C93" s="281">
        <v>616</v>
      </c>
      <c r="D93" s="282" t="s">
        <v>579</v>
      </c>
      <c r="E93" s="281">
        <v>483</v>
      </c>
      <c r="F93" s="282" t="s">
        <v>579</v>
      </c>
      <c r="G93" s="281">
        <v>267</v>
      </c>
      <c r="H93" s="282" t="s">
        <v>579</v>
      </c>
      <c r="I93" s="281">
        <v>36</v>
      </c>
      <c r="K93" s="281">
        <v>36</v>
      </c>
      <c r="L93" s="282" t="s">
        <v>9</v>
      </c>
    </row>
    <row r="94" spans="1:12" ht="11.25" customHeight="1">
      <c r="A94" s="279" t="s">
        <v>42</v>
      </c>
      <c r="C94" s="281">
        <v>109</v>
      </c>
      <c r="D94" s="282" t="s">
        <v>579</v>
      </c>
      <c r="E94" s="281">
        <v>101</v>
      </c>
      <c r="F94" s="282" t="s">
        <v>579</v>
      </c>
      <c r="G94" s="281">
        <v>50</v>
      </c>
      <c r="H94" s="282" t="s">
        <v>9</v>
      </c>
      <c r="I94" s="281">
        <v>50</v>
      </c>
      <c r="J94" s="282" t="s">
        <v>9</v>
      </c>
      <c r="K94" s="281">
        <v>50</v>
      </c>
      <c r="L94" s="282" t="s">
        <v>9</v>
      </c>
    </row>
    <row r="95" spans="1:12" ht="11.25" customHeight="1">
      <c r="A95" s="279" t="s">
        <v>45</v>
      </c>
      <c r="C95" s="281">
        <v>34654</v>
      </c>
      <c r="E95" s="281">
        <v>34035</v>
      </c>
      <c r="G95" s="281">
        <v>31517</v>
      </c>
      <c r="H95" s="282" t="s">
        <v>579</v>
      </c>
      <c r="I95" s="281">
        <v>33163</v>
      </c>
      <c r="J95" s="282" t="s">
        <v>579</v>
      </c>
      <c r="K95" s="281">
        <v>37500</v>
      </c>
    </row>
    <row r="96" spans="1:12" ht="12.5" customHeight="1">
      <c r="A96" s="279" t="s">
        <v>595</v>
      </c>
      <c r="C96" s="281">
        <v>30</v>
      </c>
      <c r="D96" s="282" t="s">
        <v>579</v>
      </c>
      <c r="E96" s="281">
        <v>30</v>
      </c>
      <c r="F96" s="282" t="s">
        <v>579</v>
      </c>
      <c r="G96" s="281">
        <v>30</v>
      </c>
      <c r="H96" s="282" t="s">
        <v>579</v>
      </c>
      <c r="I96" s="281">
        <v>30</v>
      </c>
      <c r="J96" s="282" t="s">
        <v>579</v>
      </c>
      <c r="K96" s="281">
        <v>30</v>
      </c>
    </row>
    <row r="97" spans="1:12" ht="11.25" customHeight="1">
      <c r="A97" s="279" t="s">
        <v>49</v>
      </c>
      <c r="C97" s="281">
        <v>33199</v>
      </c>
      <c r="D97" s="282" t="s">
        <v>8</v>
      </c>
      <c r="E97" s="281">
        <v>27373</v>
      </c>
      <c r="F97" s="282" t="s">
        <v>8</v>
      </c>
      <c r="G97" s="281">
        <v>22935</v>
      </c>
      <c r="H97" s="282" t="s">
        <v>579</v>
      </c>
      <c r="I97" s="281">
        <v>24128</v>
      </c>
      <c r="J97" s="282" t="s">
        <v>579</v>
      </c>
      <c r="K97" s="281">
        <v>21300</v>
      </c>
    </row>
    <row r="98" spans="1:12" ht="11.25" customHeight="1">
      <c r="A98" s="279" t="s">
        <v>596</v>
      </c>
      <c r="C98" s="281">
        <v>2878</v>
      </c>
      <c r="D98" s="282" t="s">
        <v>579</v>
      </c>
      <c r="E98" s="281">
        <v>2390</v>
      </c>
      <c r="F98" s="282" t="s">
        <v>579</v>
      </c>
      <c r="G98" s="281">
        <v>3006</v>
      </c>
      <c r="H98" s="282" t="s">
        <v>579</v>
      </c>
      <c r="I98" s="281">
        <v>3149</v>
      </c>
      <c r="J98" s="282" t="s">
        <v>579</v>
      </c>
      <c r="K98" s="281">
        <v>3300</v>
      </c>
    </row>
    <row r="99" spans="1:12" ht="11.25" customHeight="1">
      <c r="A99" s="279" t="s">
        <v>50</v>
      </c>
      <c r="C99" s="281">
        <v>11858</v>
      </c>
      <c r="D99" s="282" t="s">
        <v>579</v>
      </c>
      <c r="E99" s="281">
        <v>12120</v>
      </c>
      <c r="F99" s="282" t="s">
        <v>579</v>
      </c>
      <c r="G99" s="281">
        <v>10907</v>
      </c>
      <c r="H99" s="282" t="s">
        <v>579</v>
      </c>
      <c r="I99" s="281">
        <v>7635</v>
      </c>
      <c r="J99" s="282" t="s">
        <v>579</v>
      </c>
      <c r="K99" s="281">
        <v>7500</v>
      </c>
    </row>
    <row r="100" spans="1:12" ht="11.25" customHeight="1">
      <c r="A100" s="279" t="s">
        <v>51</v>
      </c>
      <c r="C100" s="281">
        <v>86900</v>
      </c>
      <c r="E100" s="281">
        <v>88200</v>
      </c>
      <c r="G100" s="281">
        <v>78800</v>
      </c>
      <c r="I100" s="281">
        <v>78500</v>
      </c>
      <c r="K100" s="281">
        <v>81600</v>
      </c>
    </row>
    <row r="101" spans="1:12" ht="11.25" customHeight="1">
      <c r="A101" s="279" t="s">
        <v>352</v>
      </c>
      <c r="C101" s="281">
        <v>91</v>
      </c>
      <c r="D101" s="282" t="s">
        <v>579</v>
      </c>
      <c r="E101" s="281">
        <v>94</v>
      </c>
      <c r="F101" s="282" t="s">
        <v>579</v>
      </c>
      <c r="G101" s="281">
        <v>97</v>
      </c>
      <c r="H101" s="282" t="s">
        <v>579</v>
      </c>
      <c r="I101" s="281">
        <v>61</v>
      </c>
      <c r="J101" s="282" t="s">
        <v>579</v>
      </c>
      <c r="K101" s="281">
        <v>58</v>
      </c>
    </row>
    <row r="102" spans="1:12" ht="11.25" customHeight="1">
      <c r="A102" s="279" t="s">
        <v>353</v>
      </c>
      <c r="C102" s="281">
        <v>746</v>
      </c>
      <c r="D102" s="282" t="s">
        <v>579</v>
      </c>
      <c r="E102" s="281">
        <v>751</v>
      </c>
      <c r="F102" s="282" t="s">
        <v>579</v>
      </c>
      <c r="G102" s="281">
        <v>643</v>
      </c>
      <c r="H102" s="282" t="s">
        <v>579</v>
      </c>
      <c r="I102" s="281">
        <v>654</v>
      </c>
      <c r="J102" s="282" t="s">
        <v>579</v>
      </c>
      <c r="K102" s="281">
        <v>654</v>
      </c>
      <c r="L102" s="282" t="s">
        <v>9</v>
      </c>
    </row>
    <row r="103" spans="1:12" ht="11.25" customHeight="1">
      <c r="A103" s="279" t="s">
        <v>52</v>
      </c>
      <c r="C103" s="281">
        <v>2139</v>
      </c>
      <c r="D103" s="282" t="s">
        <v>579</v>
      </c>
      <c r="E103" s="281">
        <v>1485</v>
      </c>
      <c r="F103" s="282" t="s">
        <v>579</v>
      </c>
      <c r="G103" s="281">
        <v>1345</v>
      </c>
      <c r="H103" s="282" t="s">
        <v>579</v>
      </c>
      <c r="I103" s="281">
        <v>553</v>
      </c>
      <c r="J103" s="282" t="s">
        <v>579</v>
      </c>
      <c r="K103" s="281">
        <v>553</v>
      </c>
      <c r="L103" s="282" t="s">
        <v>9</v>
      </c>
    </row>
    <row r="104" spans="1:12" ht="11.25" customHeight="1">
      <c r="A104" s="279" t="s">
        <v>86</v>
      </c>
      <c r="C104" s="281">
        <v>3484</v>
      </c>
      <c r="D104" s="282" t="s">
        <v>579</v>
      </c>
      <c r="E104" s="281">
        <v>3954</v>
      </c>
      <c r="F104" s="282" t="s">
        <v>579</v>
      </c>
      <c r="G104" s="281">
        <v>4122</v>
      </c>
      <c r="H104" s="282" t="s">
        <v>579</v>
      </c>
      <c r="I104" s="281">
        <v>7811</v>
      </c>
      <c r="J104" s="282" t="s">
        <v>579</v>
      </c>
      <c r="K104" s="281">
        <v>11500</v>
      </c>
    </row>
    <row r="105" spans="1:12" ht="11.25" customHeight="1">
      <c r="A105" s="279" t="s">
        <v>597</v>
      </c>
      <c r="C105" s="281">
        <v>91</v>
      </c>
      <c r="D105" s="282" t="s">
        <v>579</v>
      </c>
      <c r="E105" s="281">
        <v>91</v>
      </c>
      <c r="F105" s="282" t="s">
        <v>579</v>
      </c>
      <c r="G105" s="281">
        <v>52</v>
      </c>
      <c r="H105" s="282" t="s">
        <v>8</v>
      </c>
      <c r="I105" s="281">
        <v>45</v>
      </c>
      <c r="J105" s="282" t="s">
        <v>8</v>
      </c>
      <c r="K105" s="281">
        <v>54</v>
      </c>
      <c r="L105" s="282" t="s">
        <v>9</v>
      </c>
    </row>
    <row r="106" spans="1:12" ht="11.25" customHeight="1">
      <c r="A106" s="279" t="s">
        <v>570</v>
      </c>
      <c r="B106" s="285"/>
      <c r="C106" s="297">
        <v>1610000</v>
      </c>
      <c r="D106" s="276"/>
      <c r="E106" s="297">
        <v>1670000</v>
      </c>
      <c r="F106" s="276"/>
      <c r="G106" s="297">
        <v>1620000</v>
      </c>
      <c r="H106" s="276"/>
      <c r="I106" s="297">
        <v>1630000</v>
      </c>
      <c r="J106" s="276"/>
      <c r="K106" s="297">
        <v>1690000</v>
      </c>
      <c r="L106" s="276"/>
    </row>
    <row r="107" spans="1:12" ht="11">
      <c r="A107" s="428" t="s">
        <v>571</v>
      </c>
      <c r="B107" s="429"/>
      <c r="C107" s="429"/>
      <c r="D107" s="429"/>
      <c r="E107" s="429"/>
      <c r="F107" s="429"/>
      <c r="G107" s="429"/>
      <c r="H107" s="429"/>
      <c r="I107" s="429"/>
      <c r="J107" s="429"/>
      <c r="K107" s="429"/>
      <c r="L107" s="429"/>
    </row>
    <row r="108" spans="1:12" ht="22.5" customHeight="1">
      <c r="A108" s="428" t="s">
        <v>598</v>
      </c>
      <c r="B108" s="429"/>
      <c r="C108" s="429"/>
      <c r="D108" s="429"/>
      <c r="E108" s="429"/>
      <c r="F108" s="429"/>
      <c r="G108" s="429"/>
      <c r="H108" s="429"/>
      <c r="I108" s="429"/>
      <c r="J108" s="429"/>
      <c r="K108" s="429"/>
      <c r="L108" s="429"/>
    </row>
    <row r="109" spans="1:12" ht="22.5" customHeight="1">
      <c r="A109" s="428" t="s">
        <v>599</v>
      </c>
      <c r="B109" s="429"/>
      <c r="C109" s="429"/>
      <c r="D109" s="429"/>
      <c r="E109" s="429"/>
      <c r="F109" s="429"/>
      <c r="G109" s="429"/>
      <c r="H109" s="429"/>
      <c r="I109" s="429"/>
      <c r="J109" s="429"/>
      <c r="K109" s="429"/>
      <c r="L109" s="429"/>
    </row>
    <row r="110" spans="1:12" ht="22.5" customHeight="1">
      <c r="A110" s="428" t="s">
        <v>600</v>
      </c>
      <c r="B110" s="429"/>
      <c r="C110" s="429"/>
      <c r="D110" s="429"/>
      <c r="E110" s="429"/>
      <c r="F110" s="429"/>
      <c r="G110" s="429"/>
      <c r="H110" s="429"/>
      <c r="I110" s="429"/>
      <c r="J110" s="429"/>
      <c r="K110" s="429"/>
      <c r="L110" s="429"/>
    </row>
    <row r="111" spans="1:12" ht="11">
      <c r="A111" s="428" t="s">
        <v>601</v>
      </c>
      <c r="B111" s="429"/>
      <c r="C111" s="429"/>
      <c r="D111" s="429"/>
      <c r="E111" s="429"/>
      <c r="F111" s="429"/>
      <c r="G111" s="429"/>
      <c r="H111" s="429"/>
      <c r="I111" s="429"/>
      <c r="J111" s="429"/>
      <c r="K111" s="429"/>
      <c r="L111" s="429"/>
    </row>
    <row r="112" spans="1:12" ht="22.5" customHeight="1">
      <c r="A112" s="428" t="s">
        <v>602</v>
      </c>
      <c r="B112" s="432"/>
      <c r="C112" s="432"/>
      <c r="D112" s="432"/>
      <c r="E112" s="432"/>
      <c r="F112" s="432"/>
      <c r="G112" s="432"/>
      <c r="H112" s="432"/>
      <c r="I112" s="432"/>
      <c r="J112" s="432"/>
      <c r="K112" s="432"/>
      <c r="L112" s="432"/>
    </row>
  </sheetData>
  <mergeCells count="17">
    <mergeCell ref="A108:L108"/>
    <mergeCell ref="A109:L109"/>
    <mergeCell ref="A110:L110"/>
    <mergeCell ref="A111:L111"/>
    <mergeCell ref="A112:L112"/>
    <mergeCell ref="A107:L107"/>
    <mergeCell ref="A1:L1"/>
    <mergeCell ref="A2:L2"/>
    <mergeCell ref="A3:L3"/>
    <mergeCell ref="A4:L4"/>
    <mergeCell ref="A5:L5"/>
    <mergeCell ref="A66:L66"/>
    <mergeCell ref="A67:L67"/>
    <mergeCell ref="A68:L68"/>
    <mergeCell ref="A69:L69"/>
    <mergeCell ref="A70:L70"/>
    <mergeCell ref="A71:L71"/>
  </mergeCells>
  <pageMargins left="0.5" right="0.5" top="0.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77B0-1928-8841-8FC3-79A6E1CE85D9}">
  <dimension ref="A1:N104"/>
  <sheetViews>
    <sheetView zoomScaleNormal="100" workbookViewId="0">
      <selection activeCell="A6" sqref="A6:K97"/>
    </sheetView>
  </sheetViews>
  <sheetFormatPr baseColWidth="10" defaultColWidth="9.5" defaultRowHeight="12"/>
  <cols>
    <col min="1" max="1" width="26.6640625" style="288" customWidth="1"/>
    <col min="2" max="2" width="1.6640625" style="282" customWidth="1"/>
    <col min="3" max="3" width="8.33203125" style="320" customWidth="1"/>
    <col min="4" max="4" width="1.6640625" style="282" customWidth="1"/>
    <col min="5" max="5" width="8.33203125" style="320" customWidth="1"/>
    <col min="6" max="6" width="1.6640625" style="282" customWidth="1"/>
    <col min="7" max="7" width="8.33203125" style="320" customWidth="1"/>
    <col min="8" max="8" width="1.6640625" style="282" customWidth="1"/>
    <col min="9" max="9" width="8.33203125" style="320" customWidth="1"/>
    <col min="10" max="10" width="2.83203125" style="282" customWidth="1"/>
    <col min="11" max="11" width="8.33203125" style="320" customWidth="1"/>
    <col min="12" max="12" width="1.6640625" style="282" customWidth="1"/>
    <col min="13" max="16384" width="9.5" style="314"/>
  </cols>
  <sheetData>
    <row r="1" spans="1:13" ht="11.25" customHeight="1">
      <c r="A1" s="430" t="s">
        <v>420</v>
      </c>
      <c r="B1" s="430"/>
      <c r="C1" s="430"/>
      <c r="D1" s="430"/>
      <c r="E1" s="430"/>
      <c r="F1" s="430"/>
      <c r="G1" s="430"/>
      <c r="H1" s="430"/>
      <c r="I1" s="430"/>
      <c r="J1" s="430"/>
      <c r="K1" s="430"/>
      <c r="L1" s="430"/>
      <c r="M1" s="274"/>
    </row>
    <row r="2" spans="1:13" ht="11.25" customHeight="1">
      <c r="A2" s="430" t="s">
        <v>616</v>
      </c>
      <c r="B2" s="430"/>
      <c r="C2" s="430"/>
      <c r="D2" s="430"/>
      <c r="E2" s="430"/>
      <c r="F2" s="430"/>
      <c r="G2" s="430"/>
      <c r="H2" s="430"/>
      <c r="I2" s="430"/>
      <c r="J2" s="430"/>
      <c r="K2" s="430"/>
      <c r="L2" s="430"/>
      <c r="M2" s="274"/>
    </row>
    <row r="3" spans="1:13" ht="11.25" customHeight="1">
      <c r="A3" s="431"/>
      <c r="B3" s="431"/>
      <c r="C3" s="431"/>
      <c r="D3" s="431"/>
      <c r="E3" s="431"/>
      <c r="F3" s="431"/>
      <c r="G3" s="431"/>
      <c r="H3" s="431"/>
      <c r="I3" s="431"/>
      <c r="J3" s="431"/>
      <c r="K3" s="431"/>
      <c r="L3" s="431"/>
      <c r="M3" s="274"/>
    </row>
    <row r="4" spans="1:13" ht="11.25" customHeight="1">
      <c r="A4" s="430" t="s">
        <v>0</v>
      </c>
      <c r="B4" s="430"/>
      <c r="C4" s="430"/>
      <c r="D4" s="430"/>
      <c r="E4" s="430"/>
      <c r="F4" s="430"/>
      <c r="G4" s="430"/>
      <c r="H4" s="430"/>
      <c r="I4" s="430"/>
      <c r="J4" s="430"/>
      <c r="K4" s="430"/>
      <c r="L4" s="430"/>
      <c r="M4" s="274"/>
    </row>
    <row r="5" spans="1:13" ht="11.25" customHeight="1">
      <c r="A5" s="436"/>
      <c r="B5" s="436"/>
      <c r="C5" s="436"/>
      <c r="D5" s="436"/>
      <c r="E5" s="436"/>
      <c r="F5" s="436"/>
      <c r="G5" s="436"/>
      <c r="H5" s="436"/>
      <c r="I5" s="436"/>
      <c r="J5" s="436"/>
      <c r="K5" s="436"/>
      <c r="L5" s="436"/>
      <c r="M5" s="274"/>
    </row>
    <row r="6" spans="1:13" ht="11.25" customHeight="1">
      <c r="A6" s="296" t="s">
        <v>604</v>
      </c>
      <c r="B6" s="299"/>
      <c r="C6" s="315">
        <v>2018</v>
      </c>
      <c r="D6" s="276"/>
      <c r="E6" s="315">
        <v>2019</v>
      </c>
      <c r="F6" s="276"/>
      <c r="G6" s="315">
        <v>2020</v>
      </c>
      <c r="H6" s="276"/>
      <c r="I6" s="315" t="s">
        <v>223</v>
      </c>
      <c r="J6" s="276"/>
      <c r="K6" s="315" t="s">
        <v>605</v>
      </c>
      <c r="L6" s="276"/>
      <c r="M6" s="274"/>
    </row>
    <row r="7" spans="1:13" ht="11.25" customHeight="1">
      <c r="A7" s="316" t="s">
        <v>617</v>
      </c>
      <c r="C7" s="317">
        <v>33</v>
      </c>
      <c r="E7" s="317">
        <v>33</v>
      </c>
      <c r="G7" s="317">
        <v>29</v>
      </c>
      <c r="I7" s="317">
        <v>17</v>
      </c>
      <c r="J7" s="282" t="s">
        <v>8</v>
      </c>
      <c r="K7" s="317">
        <v>10</v>
      </c>
      <c r="M7" s="274"/>
    </row>
    <row r="8" spans="1:13" ht="11.25" customHeight="1">
      <c r="A8" s="279" t="s">
        <v>424</v>
      </c>
      <c r="C8" s="317">
        <v>396</v>
      </c>
      <c r="E8" s="317">
        <v>406</v>
      </c>
      <c r="G8" s="317">
        <v>390</v>
      </c>
      <c r="H8" s="282" t="s">
        <v>9</v>
      </c>
      <c r="I8" s="317">
        <v>400</v>
      </c>
      <c r="J8" s="282" t="s">
        <v>9</v>
      </c>
      <c r="K8" s="318" t="s">
        <v>12</v>
      </c>
      <c r="M8" s="274"/>
    </row>
    <row r="9" spans="1:13" ht="11.25" customHeight="1">
      <c r="A9" s="279" t="s">
        <v>7</v>
      </c>
      <c r="C9" s="317">
        <v>2300</v>
      </c>
      <c r="E9" s="317">
        <v>2400</v>
      </c>
      <c r="G9" s="317">
        <v>3000</v>
      </c>
      <c r="H9" s="282" t="s">
        <v>8</v>
      </c>
      <c r="I9" s="317">
        <v>3491</v>
      </c>
      <c r="J9" s="282" t="s">
        <v>8</v>
      </c>
      <c r="K9" s="317">
        <v>3500</v>
      </c>
      <c r="L9" s="282" t="s">
        <v>9</v>
      </c>
      <c r="M9" s="274"/>
    </row>
    <row r="10" spans="1:13" ht="11.25" customHeight="1">
      <c r="A10" s="279" t="s">
        <v>224</v>
      </c>
      <c r="C10" s="317">
        <v>5162</v>
      </c>
      <c r="E10" s="317">
        <v>4645</v>
      </c>
      <c r="G10" s="317">
        <v>3651</v>
      </c>
      <c r="I10" s="317">
        <v>4875</v>
      </c>
      <c r="K10" s="317">
        <v>5094</v>
      </c>
      <c r="M10" s="274"/>
    </row>
    <row r="11" spans="1:13" ht="11.25" customHeight="1">
      <c r="A11" s="279" t="s">
        <v>10</v>
      </c>
      <c r="C11" s="317">
        <v>5775</v>
      </c>
      <c r="E11" s="317">
        <v>5493</v>
      </c>
      <c r="G11" s="317">
        <v>5489</v>
      </c>
      <c r="I11" s="317">
        <v>5808</v>
      </c>
      <c r="K11" s="317">
        <v>5667</v>
      </c>
      <c r="M11" s="274"/>
    </row>
    <row r="12" spans="1:13" ht="11.25" customHeight="1">
      <c r="A12" s="279" t="s">
        <v>11</v>
      </c>
      <c r="C12" s="317">
        <v>6885</v>
      </c>
      <c r="E12" s="317">
        <v>7423</v>
      </c>
      <c r="G12" s="317">
        <v>6765</v>
      </c>
      <c r="I12" s="317">
        <v>7884</v>
      </c>
      <c r="K12" s="317">
        <v>7512</v>
      </c>
      <c r="M12" s="274"/>
    </row>
    <row r="13" spans="1:13" ht="11.25" customHeight="1">
      <c r="A13" s="279" t="s">
        <v>80</v>
      </c>
      <c r="C13" s="317">
        <v>382</v>
      </c>
      <c r="E13" s="317">
        <v>326</v>
      </c>
      <c r="G13" s="317">
        <v>265</v>
      </c>
      <c r="H13" s="282" t="s">
        <v>8</v>
      </c>
      <c r="I13" s="317">
        <v>308</v>
      </c>
      <c r="J13" s="282" t="s">
        <v>8</v>
      </c>
      <c r="K13" s="317">
        <v>391</v>
      </c>
      <c r="M13" s="274"/>
    </row>
    <row r="14" spans="1:13" ht="11.25" customHeight="1">
      <c r="A14" s="279" t="s">
        <v>618</v>
      </c>
      <c r="C14" s="317">
        <v>2370</v>
      </c>
      <c r="D14" s="282" t="s">
        <v>8</v>
      </c>
      <c r="E14" s="317">
        <v>3760</v>
      </c>
      <c r="F14" s="282" t="s">
        <v>8</v>
      </c>
      <c r="G14" s="317">
        <v>3750</v>
      </c>
      <c r="H14" s="282" t="s">
        <v>8</v>
      </c>
      <c r="I14" s="317">
        <v>3610</v>
      </c>
      <c r="J14" s="282" t="s">
        <v>8</v>
      </c>
      <c r="K14" s="317">
        <v>4480</v>
      </c>
      <c r="M14" s="274"/>
    </row>
    <row r="15" spans="1:13" ht="11.25" customHeight="1">
      <c r="A15" s="279" t="s">
        <v>312</v>
      </c>
      <c r="C15" s="317">
        <v>2573</v>
      </c>
      <c r="E15" s="317">
        <v>2718</v>
      </c>
      <c r="G15" s="317">
        <v>2560</v>
      </c>
      <c r="I15" s="317">
        <v>2480</v>
      </c>
      <c r="J15" s="282" t="s">
        <v>8</v>
      </c>
      <c r="K15" s="317">
        <v>2078</v>
      </c>
      <c r="M15" s="274"/>
    </row>
    <row r="16" spans="1:13" ht="11.25" customHeight="1">
      <c r="A16" s="279" t="s">
        <v>261</v>
      </c>
      <c r="C16" s="317">
        <v>7980</v>
      </c>
      <c r="E16" s="317">
        <v>7760</v>
      </c>
      <c r="G16" s="317">
        <v>6119</v>
      </c>
      <c r="I16" s="317">
        <v>6909</v>
      </c>
      <c r="K16" s="317">
        <v>7030</v>
      </c>
      <c r="M16" s="274"/>
    </row>
    <row r="17" spans="1:13" ht="11.25" customHeight="1">
      <c r="A17" s="279" t="s">
        <v>81</v>
      </c>
      <c r="C17" s="317">
        <v>695</v>
      </c>
      <c r="E17" s="317">
        <v>801</v>
      </c>
      <c r="G17" s="317">
        <v>759</v>
      </c>
      <c r="I17" s="317">
        <v>915</v>
      </c>
      <c r="K17" s="317">
        <v>890</v>
      </c>
      <c r="M17" s="274"/>
    </row>
    <row r="18" spans="1:13" ht="11.25" customHeight="1">
      <c r="A18" s="279" t="s">
        <v>15</v>
      </c>
      <c r="C18" s="317">
        <v>35407</v>
      </c>
      <c r="E18" s="317">
        <v>32236</v>
      </c>
      <c r="G18" s="317">
        <v>31415</v>
      </c>
      <c r="I18" s="317">
        <v>36039</v>
      </c>
      <c r="K18" s="317">
        <v>34089</v>
      </c>
      <c r="M18" s="274"/>
    </row>
    <row r="19" spans="1:13" ht="11.25" customHeight="1">
      <c r="A19" s="279" t="s">
        <v>16</v>
      </c>
      <c r="C19" s="317">
        <v>666</v>
      </c>
      <c r="E19" s="317">
        <v>566</v>
      </c>
      <c r="G19" s="317">
        <v>484</v>
      </c>
      <c r="I19" s="317">
        <v>548</v>
      </c>
      <c r="K19" s="317">
        <v>482</v>
      </c>
      <c r="M19" s="274"/>
    </row>
    <row r="20" spans="1:13" ht="11.25" customHeight="1">
      <c r="A20" s="279" t="s">
        <v>619</v>
      </c>
      <c r="C20" s="317">
        <v>300</v>
      </c>
      <c r="E20" s="317">
        <v>350</v>
      </c>
      <c r="G20" s="317">
        <v>350</v>
      </c>
      <c r="I20" s="317">
        <v>400</v>
      </c>
      <c r="J20" s="282" t="s">
        <v>8</v>
      </c>
      <c r="K20" s="317">
        <v>400</v>
      </c>
      <c r="M20" s="274"/>
    </row>
    <row r="21" spans="1:13" ht="11.25" customHeight="1">
      <c r="A21" s="279" t="s">
        <v>226</v>
      </c>
      <c r="C21" s="317">
        <v>13443</v>
      </c>
      <c r="E21" s="317">
        <v>12897</v>
      </c>
      <c r="G21" s="317">
        <v>10986</v>
      </c>
      <c r="I21" s="317">
        <v>12977</v>
      </c>
      <c r="K21" s="317">
        <v>12098</v>
      </c>
      <c r="M21" s="274"/>
    </row>
    <row r="22" spans="1:13" ht="11.25" customHeight="1">
      <c r="A22" s="279" t="s">
        <v>18</v>
      </c>
      <c r="C22" s="317">
        <v>1145</v>
      </c>
      <c r="E22" s="317">
        <v>1133</v>
      </c>
      <c r="G22" s="317">
        <v>1157</v>
      </c>
      <c r="I22" s="317">
        <v>1318</v>
      </c>
      <c r="K22" s="317">
        <v>1151</v>
      </c>
      <c r="M22" s="274"/>
    </row>
    <row r="23" spans="1:13" ht="11.25" customHeight="1">
      <c r="A23" s="279" t="s">
        <v>227</v>
      </c>
      <c r="C23" s="317">
        <v>920027</v>
      </c>
      <c r="E23" s="317">
        <v>995419</v>
      </c>
      <c r="G23" s="317">
        <v>1064730</v>
      </c>
      <c r="H23" s="282" t="s">
        <v>8</v>
      </c>
      <c r="I23" s="317">
        <v>1032788</v>
      </c>
      <c r="J23" s="282" t="s">
        <v>8</v>
      </c>
      <c r="K23" s="317">
        <v>1015766</v>
      </c>
      <c r="M23" s="274"/>
    </row>
    <row r="24" spans="1:13" ht="11.25" customHeight="1">
      <c r="A24" s="279" t="s">
        <v>20</v>
      </c>
      <c r="C24" s="317">
        <v>1219</v>
      </c>
      <c r="E24" s="317">
        <v>1333</v>
      </c>
      <c r="G24" s="317">
        <v>1149</v>
      </c>
      <c r="I24" s="317">
        <v>1338</v>
      </c>
      <c r="K24" s="317">
        <v>1320</v>
      </c>
      <c r="M24" s="274"/>
    </row>
    <row r="25" spans="1:13" ht="11.25" customHeight="1">
      <c r="A25" s="279" t="s">
        <v>317</v>
      </c>
      <c r="C25" s="317">
        <v>136</v>
      </c>
      <c r="E25" s="317">
        <v>69</v>
      </c>
      <c r="F25" s="282" t="s">
        <v>8</v>
      </c>
      <c r="G25" s="317">
        <v>45</v>
      </c>
      <c r="I25" s="317">
        <v>185</v>
      </c>
      <c r="K25" s="317">
        <v>169</v>
      </c>
      <c r="M25" s="274"/>
    </row>
    <row r="26" spans="1:13" ht="11.25" customHeight="1">
      <c r="A26" s="279" t="s">
        <v>318</v>
      </c>
      <c r="C26" s="317">
        <v>225</v>
      </c>
      <c r="E26" s="317">
        <v>230</v>
      </c>
      <c r="G26" s="317">
        <v>185</v>
      </c>
      <c r="I26" s="317">
        <v>231</v>
      </c>
      <c r="J26" s="282" t="s">
        <v>8</v>
      </c>
      <c r="K26" s="317">
        <v>200</v>
      </c>
      <c r="M26" s="274"/>
    </row>
    <row r="27" spans="1:13" ht="11.25" customHeight="1">
      <c r="A27" s="279" t="s">
        <v>584</v>
      </c>
      <c r="C27" s="317">
        <v>4864</v>
      </c>
      <c r="E27" s="317">
        <v>4437</v>
      </c>
      <c r="G27" s="317">
        <v>4465</v>
      </c>
      <c r="I27" s="317">
        <v>4817</v>
      </c>
      <c r="K27" s="317">
        <v>4289</v>
      </c>
      <c r="M27" s="274"/>
    </row>
    <row r="28" spans="1:13" ht="11.25" customHeight="1">
      <c r="A28" s="279" t="s">
        <v>322</v>
      </c>
      <c r="C28" s="317">
        <v>583</v>
      </c>
      <c r="E28" s="317">
        <v>607</v>
      </c>
      <c r="G28" s="317">
        <v>482</v>
      </c>
      <c r="I28" s="317">
        <v>612</v>
      </c>
      <c r="K28" s="317">
        <v>536</v>
      </c>
      <c r="M28" s="274"/>
    </row>
    <row r="29" spans="1:13" ht="11.25" customHeight="1">
      <c r="A29" s="279" t="s">
        <v>21</v>
      </c>
      <c r="C29" s="317">
        <v>7807</v>
      </c>
      <c r="E29" s="317">
        <v>7257</v>
      </c>
      <c r="G29" s="317">
        <v>8229</v>
      </c>
      <c r="I29" s="317">
        <v>10294</v>
      </c>
      <c r="K29" s="317">
        <v>9819</v>
      </c>
      <c r="M29" s="274"/>
    </row>
    <row r="30" spans="1:13" ht="11.25" customHeight="1">
      <c r="A30" s="279" t="s">
        <v>323</v>
      </c>
      <c r="C30" s="317">
        <v>99</v>
      </c>
      <c r="E30" s="317">
        <v>105</v>
      </c>
      <c r="G30" s="317">
        <v>82</v>
      </c>
      <c r="I30" s="317">
        <v>103</v>
      </c>
      <c r="K30" s="317">
        <v>89</v>
      </c>
      <c r="M30" s="274"/>
    </row>
    <row r="31" spans="1:13" ht="11.25" customHeight="1">
      <c r="A31" s="279" t="s">
        <v>267</v>
      </c>
      <c r="C31" s="317">
        <v>4100</v>
      </c>
      <c r="E31" s="317">
        <v>3511</v>
      </c>
      <c r="G31" s="317">
        <v>3482</v>
      </c>
      <c r="I31" s="317">
        <v>4322</v>
      </c>
      <c r="J31" s="282" t="s">
        <v>8</v>
      </c>
      <c r="K31" s="317">
        <v>3538</v>
      </c>
      <c r="M31" s="274"/>
    </row>
    <row r="32" spans="1:13" ht="11.25" customHeight="1">
      <c r="A32" s="279" t="s">
        <v>268</v>
      </c>
      <c r="C32" s="317">
        <v>15387</v>
      </c>
      <c r="E32" s="317">
        <v>14451</v>
      </c>
      <c r="G32" s="317">
        <v>11596</v>
      </c>
      <c r="I32" s="317">
        <v>13947</v>
      </c>
      <c r="K32" s="317">
        <v>12119</v>
      </c>
      <c r="M32" s="274"/>
    </row>
    <row r="33" spans="1:13" ht="11.25" customHeight="1">
      <c r="A33" s="279" t="s">
        <v>22</v>
      </c>
      <c r="C33" s="317">
        <v>42435</v>
      </c>
      <c r="E33" s="317">
        <v>39627</v>
      </c>
      <c r="G33" s="317">
        <v>35658</v>
      </c>
      <c r="I33" s="317">
        <v>40066</v>
      </c>
      <c r="K33" s="317">
        <v>36861</v>
      </c>
      <c r="M33" s="274"/>
    </row>
    <row r="34" spans="1:13" ht="11.25" customHeight="1">
      <c r="A34" s="279" t="s">
        <v>326</v>
      </c>
      <c r="C34" s="317">
        <v>1467</v>
      </c>
      <c r="E34" s="317">
        <v>1350</v>
      </c>
      <c r="G34" s="317">
        <v>1408</v>
      </c>
      <c r="I34" s="317">
        <v>1498</v>
      </c>
      <c r="K34" s="317">
        <v>1534</v>
      </c>
      <c r="M34" s="274"/>
    </row>
    <row r="35" spans="1:13" ht="11.25" customHeight="1">
      <c r="A35" s="279" t="s">
        <v>23</v>
      </c>
      <c r="C35" s="317">
        <v>300</v>
      </c>
      <c r="E35" s="317">
        <v>306</v>
      </c>
      <c r="G35" s="317">
        <v>243</v>
      </c>
      <c r="I35" s="317">
        <v>307</v>
      </c>
      <c r="J35" s="282" t="s">
        <v>8</v>
      </c>
      <c r="K35" s="317">
        <v>271</v>
      </c>
      <c r="M35" s="274"/>
    </row>
    <row r="36" spans="1:13" ht="11.25" customHeight="1">
      <c r="A36" s="279" t="s">
        <v>328</v>
      </c>
      <c r="C36" s="317">
        <v>1989</v>
      </c>
      <c r="E36" s="317">
        <v>1769</v>
      </c>
      <c r="G36" s="317">
        <v>1513</v>
      </c>
      <c r="I36" s="317">
        <v>1110</v>
      </c>
      <c r="J36" s="282" t="s">
        <v>8</v>
      </c>
      <c r="K36" s="317">
        <v>857</v>
      </c>
      <c r="M36" s="274"/>
    </row>
    <row r="37" spans="1:13" ht="11.25" customHeight="1">
      <c r="A37" s="279" t="s">
        <v>24</v>
      </c>
      <c r="C37" s="317">
        <v>109272</v>
      </c>
      <c r="E37" s="317">
        <v>111351</v>
      </c>
      <c r="G37" s="317">
        <v>100256</v>
      </c>
      <c r="I37" s="317">
        <v>118234</v>
      </c>
      <c r="K37" s="317">
        <v>125337</v>
      </c>
      <c r="M37" s="274"/>
    </row>
    <row r="38" spans="1:13" ht="11.25" customHeight="1">
      <c r="A38" s="279" t="s">
        <v>25</v>
      </c>
      <c r="C38" s="317">
        <v>6183</v>
      </c>
      <c r="E38" s="317">
        <v>8565</v>
      </c>
      <c r="G38" s="317">
        <v>12871</v>
      </c>
      <c r="I38" s="317">
        <v>14300</v>
      </c>
      <c r="K38" s="317">
        <v>15570</v>
      </c>
      <c r="L38" s="282" t="s">
        <v>9</v>
      </c>
      <c r="M38" s="274"/>
    </row>
    <row r="39" spans="1:13" ht="11.25" customHeight="1">
      <c r="A39" s="279" t="s">
        <v>230</v>
      </c>
      <c r="C39" s="317">
        <v>24520</v>
      </c>
      <c r="E39" s="317">
        <v>25609</v>
      </c>
      <c r="G39" s="317">
        <v>28990</v>
      </c>
      <c r="I39" s="317">
        <v>27901</v>
      </c>
      <c r="J39" s="282" t="s">
        <v>8</v>
      </c>
      <c r="K39" s="317">
        <v>30433</v>
      </c>
      <c r="M39" s="274"/>
    </row>
    <row r="40" spans="1:13" ht="11.25" customHeight="1">
      <c r="A40" s="279" t="s">
        <v>272</v>
      </c>
      <c r="C40" s="317">
        <v>24496</v>
      </c>
      <c r="E40" s="317">
        <v>23190</v>
      </c>
      <c r="G40" s="317">
        <v>20379</v>
      </c>
      <c r="I40" s="317">
        <v>24400</v>
      </c>
      <c r="K40" s="317">
        <v>21598</v>
      </c>
      <c r="M40" s="274"/>
    </row>
    <row r="41" spans="1:13" ht="11.25" customHeight="1">
      <c r="A41" s="279" t="s">
        <v>26</v>
      </c>
      <c r="C41" s="317">
        <v>104319</v>
      </c>
      <c r="E41" s="317">
        <v>99284</v>
      </c>
      <c r="G41" s="317">
        <v>83186</v>
      </c>
      <c r="I41" s="317">
        <v>96334</v>
      </c>
      <c r="K41" s="317">
        <v>89227</v>
      </c>
      <c r="M41" s="274"/>
    </row>
    <row r="42" spans="1:13" ht="11.25" customHeight="1">
      <c r="A42" s="279" t="s">
        <v>620</v>
      </c>
      <c r="C42" s="317">
        <v>350</v>
      </c>
      <c r="E42" s="317">
        <v>350</v>
      </c>
      <c r="G42" s="317">
        <v>350</v>
      </c>
      <c r="I42" s="317">
        <v>350</v>
      </c>
      <c r="K42" s="317">
        <v>350</v>
      </c>
      <c r="M42" s="274"/>
    </row>
    <row r="43" spans="1:13" ht="11.25" customHeight="1">
      <c r="A43" s="279" t="s">
        <v>28</v>
      </c>
      <c r="C43" s="317">
        <v>4006</v>
      </c>
      <c r="E43" s="317">
        <v>4131</v>
      </c>
      <c r="G43" s="317">
        <v>4009</v>
      </c>
      <c r="I43" s="317">
        <v>4499</v>
      </c>
      <c r="J43" s="282" t="s">
        <v>8</v>
      </c>
      <c r="K43" s="317">
        <v>4150</v>
      </c>
      <c r="M43" s="274"/>
    </row>
    <row r="44" spans="1:13" ht="11.25" customHeight="1">
      <c r="A44" s="279" t="s">
        <v>621</v>
      </c>
      <c r="C44" s="317">
        <v>460</v>
      </c>
      <c r="E44" s="317">
        <v>470</v>
      </c>
      <c r="G44" s="317">
        <v>450</v>
      </c>
      <c r="H44" s="282" t="s">
        <v>8</v>
      </c>
      <c r="I44" s="317">
        <v>460</v>
      </c>
      <c r="J44" s="282" t="s">
        <v>8</v>
      </c>
      <c r="K44" s="317">
        <v>450</v>
      </c>
      <c r="M44" s="274"/>
    </row>
    <row r="45" spans="1:13" ht="11.25" customHeight="1">
      <c r="A45" s="279" t="s">
        <v>231</v>
      </c>
      <c r="C45" s="317">
        <v>810</v>
      </c>
      <c r="E45" s="317">
        <v>680</v>
      </c>
      <c r="G45" s="317">
        <v>707</v>
      </c>
      <c r="I45" s="317">
        <v>598</v>
      </c>
      <c r="J45" s="282" t="s">
        <v>8</v>
      </c>
      <c r="K45" s="317">
        <v>289</v>
      </c>
      <c r="M45" s="274"/>
    </row>
    <row r="46" spans="1:13" ht="11.25" customHeight="1">
      <c r="A46" s="279" t="s">
        <v>31</v>
      </c>
      <c r="C46" s="317">
        <v>72463</v>
      </c>
      <c r="E46" s="317">
        <v>71411</v>
      </c>
      <c r="G46" s="317">
        <v>67098</v>
      </c>
      <c r="I46" s="317">
        <v>70556</v>
      </c>
      <c r="K46" s="317">
        <v>65856</v>
      </c>
      <c r="M46" s="274"/>
    </row>
    <row r="47" spans="1:13" ht="11.25" customHeight="1">
      <c r="A47" s="279" t="s">
        <v>334</v>
      </c>
      <c r="C47" s="317">
        <v>396</v>
      </c>
      <c r="E47" s="317">
        <v>606</v>
      </c>
      <c r="G47" s="317">
        <v>495</v>
      </c>
      <c r="I47" s="317">
        <v>662</v>
      </c>
      <c r="K47" s="317">
        <v>688</v>
      </c>
      <c r="M47" s="274"/>
    </row>
    <row r="48" spans="1:13" ht="11.25" customHeight="1">
      <c r="A48" s="279" t="s">
        <v>335</v>
      </c>
      <c r="C48" s="317">
        <v>2228</v>
      </c>
      <c r="E48" s="317">
        <v>2119</v>
      </c>
      <c r="G48" s="317">
        <v>1886</v>
      </c>
      <c r="I48" s="317">
        <v>2073</v>
      </c>
      <c r="K48" s="317">
        <v>1875</v>
      </c>
      <c r="M48" s="274"/>
    </row>
    <row r="49" spans="1:13" ht="11.25" customHeight="1">
      <c r="A49" s="279" t="s">
        <v>32</v>
      </c>
      <c r="C49" s="317">
        <v>4108</v>
      </c>
      <c r="E49" s="317">
        <v>6948</v>
      </c>
      <c r="F49" s="282" t="s">
        <v>8</v>
      </c>
      <c r="G49" s="317">
        <v>6619</v>
      </c>
      <c r="H49" s="282" t="s">
        <v>8</v>
      </c>
      <c r="I49" s="317">
        <v>9090</v>
      </c>
      <c r="J49" s="282" t="s">
        <v>8</v>
      </c>
      <c r="K49" s="317">
        <v>10000</v>
      </c>
      <c r="L49" s="282" t="s">
        <v>9</v>
      </c>
      <c r="M49" s="274"/>
    </row>
    <row r="50" spans="1:13" ht="11.25" customHeight="1">
      <c r="A50" s="279" t="s">
        <v>622</v>
      </c>
      <c r="C50" s="317">
        <v>5</v>
      </c>
      <c r="E50" s="317">
        <v>5</v>
      </c>
      <c r="G50" s="317">
        <v>5</v>
      </c>
      <c r="I50" s="317">
        <v>5</v>
      </c>
      <c r="K50" s="317">
        <v>5</v>
      </c>
      <c r="M50" s="274"/>
    </row>
    <row r="51" spans="1:13" ht="11.25" customHeight="1">
      <c r="A51" s="279" t="s">
        <v>234</v>
      </c>
      <c r="C51" s="317">
        <v>20204</v>
      </c>
      <c r="E51" s="317">
        <v>18387</v>
      </c>
      <c r="G51" s="317">
        <v>16803</v>
      </c>
      <c r="I51" s="317">
        <v>18473</v>
      </c>
      <c r="K51" s="317">
        <v>18386</v>
      </c>
      <c r="M51" s="274"/>
    </row>
    <row r="52" spans="1:13" ht="11.25" customHeight="1">
      <c r="A52" s="279" t="s">
        <v>337</v>
      </c>
      <c r="C52" s="317">
        <v>503</v>
      </c>
      <c r="E52" s="317">
        <v>392</v>
      </c>
      <c r="G52" s="317">
        <v>465</v>
      </c>
      <c r="I52" s="317">
        <v>554</v>
      </c>
      <c r="J52" s="282" t="s">
        <v>8</v>
      </c>
      <c r="K52" s="317">
        <v>560</v>
      </c>
      <c r="L52" s="282" t="s">
        <v>9</v>
      </c>
      <c r="M52" s="274"/>
    </row>
    <row r="53" spans="1:13" ht="11.25" customHeight="1">
      <c r="A53" s="279" t="s">
        <v>102</v>
      </c>
      <c r="C53" s="317">
        <v>29</v>
      </c>
      <c r="E53" s="317">
        <v>28</v>
      </c>
      <c r="G53" s="317">
        <v>15</v>
      </c>
      <c r="I53" s="317">
        <v>36</v>
      </c>
      <c r="J53" s="282" t="s">
        <v>8</v>
      </c>
      <c r="K53" s="317">
        <v>25</v>
      </c>
      <c r="M53" s="274"/>
    </row>
    <row r="54" spans="1:13" ht="11.25" customHeight="1">
      <c r="A54" s="279" t="s">
        <v>623</v>
      </c>
      <c r="C54" s="317">
        <v>80</v>
      </c>
      <c r="E54" s="317">
        <v>50</v>
      </c>
      <c r="G54" s="317">
        <v>20</v>
      </c>
      <c r="I54" s="317">
        <v>20</v>
      </c>
      <c r="K54" s="317">
        <v>5</v>
      </c>
      <c r="M54" s="274"/>
    </row>
    <row r="55" spans="1:13" ht="11.25" customHeight="1">
      <c r="A55" s="279" t="s">
        <v>34</v>
      </c>
      <c r="C55" s="317">
        <v>520</v>
      </c>
      <c r="E55" s="317">
        <v>500</v>
      </c>
      <c r="G55" s="317">
        <v>480</v>
      </c>
      <c r="H55" s="282" t="s">
        <v>9</v>
      </c>
      <c r="I55" s="317">
        <v>500</v>
      </c>
      <c r="J55" s="282" t="s">
        <v>9</v>
      </c>
      <c r="K55" s="317">
        <v>450</v>
      </c>
      <c r="L55" s="282" t="s">
        <v>9</v>
      </c>
      <c r="M55" s="274"/>
    </row>
    <row r="56" spans="1:13" ht="11.25" customHeight="1">
      <c r="A56" s="279" t="s">
        <v>339</v>
      </c>
      <c r="C56" s="317">
        <v>6813</v>
      </c>
      <c r="E56" s="317">
        <v>6657</v>
      </c>
      <c r="G56" s="317">
        <v>6054</v>
      </c>
      <c r="I56" s="317">
        <v>6620</v>
      </c>
      <c r="K56" s="317">
        <v>6143</v>
      </c>
      <c r="M56" s="274"/>
    </row>
    <row r="57" spans="1:13" ht="11.25" customHeight="1">
      <c r="A57" s="279" t="s">
        <v>277</v>
      </c>
      <c r="C57" s="317">
        <v>652</v>
      </c>
      <c r="E57" s="317">
        <v>667</v>
      </c>
      <c r="G57" s="317">
        <v>586</v>
      </c>
      <c r="I57" s="317">
        <v>646</v>
      </c>
      <c r="K57" s="317">
        <v>570</v>
      </c>
      <c r="M57" s="274"/>
    </row>
    <row r="58" spans="1:13" ht="11.25" customHeight="1">
      <c r="A58" s="279" t="s">
        <v>624</v>
      </c>
      <c r="C58" s="317">
        <v>620</v>
      </c>
      <c r="E58" s="317">
        <v>610</v>
      </c>
      <c r="G58" s="317">
        <v>590</v>
      </c>
      <c r="I58" s="317">
        <v>610</v>
      </c>
      <c r="K58" s="317">
        <v>650</v>
      </c>
      <c r="M58" s="274"/>
    </row>
    <row r="59" spans="1:13" ht="11.25" customHeight="1">
      <c r="A59" s="279" t="s">
        <v>625</v>
      </c>
      <c r="C59" s="317">
        <v>265</v>
      </c>
      <c r="E59" s="317">
        <v>239</v>
      </c>
      <c r="G59" s="317">
        <v>180</v>
      </c>
      <c r="I59" s="317">
        <v>315</v>
      </c>
      <c r="K59" s="317">
        <v>315</v>
      </c>
      <c r="L59" s="282" t="s">
        <v>9</v>
      </c>
      <c r="M59" s="274"/>
    </row>
    <row r="60" spans="1:13" ht="11.25" customHeight="1">
      <c r="A60" s="279" t="s">
        <v>35</v>
      </c>
      <c r="C60" s="317">
        <v>575</v>
      </c>
      <c r="E60" s="317">
        <v>621</v>
      </c>
      <c r="G60" s="317">
        <v>624</v>
      </c>
      <c r="I60" s="317">
        <v>622</v>
      </c>
      <c r="K60" s="317">
        <v>704</v>
      </c>
      <c r="M60" s="274"/>
    </row>
    <row r="61" spans="1:13" ht="11.25" customHeight="1">
      <c r="A61" s="279" t="s">
        <v>626</v>
      </c>
      <c r="C61" s="317">
        <v>2000</v>
      </c>
      <c r="E61" s="317">
        <v>2100</v>
      </c>
      <c r="G61" s="317">
        <v>2500</v>
      </c>
      <c r="H61" s="282" t="s">
        <v>8</v>
      </c>
      <c r="I61" s="317">
        <v>2800</v>
      </c>
      <c r="J61" s="282" t="s">
        <v>8</v>
      </c>
      <c r="K61" s="317">
        <v>3000</v>
      </c>
      <c r="M61" s="274"/>
    </row>
    <row r="62" spans="1:13" ht="11.25" customHeight="1">
      <c r="A62" s="279" t="s">
        <v>236</v>
      </c>
      <c r="C62" s="317">
        <v>4719</v>
      </c>
      <c r="E62" s="317">
        <v>3304</v>
      </c>
      <c r="G62" s="317">
        <v>3803</v>
      </c>
      <c r="I62" s="317">
        <v>5320</v>
      </c>
      <c r="K62" s="317">
        <v>6013</v>
      </c>
      <c r="M62" s="274"/>
    </row>
    <row r="63" spans="1:13" ht="11.25" customHeight="1">
      <c r="A63" s="279" t="s">
        <v>280</v>
      </c>
      <c r="C63" s="317">
        <v>25</v>
      </c>
      <c r="E63" s="317">
        <v>26</v>
      </c>
      <c r="G63" s="317">
        <v>23</v>
      </c>
      <c r="I63" s="317">
        <v>26</v>
      </c>
      <c r="K63" s="317">
        <v>24</v>
      </c>
      <c r="M63" s="274"/>
    </row>
    <row r="64" spans="1:13" ht="11.25" customHeight="1">
      <c r="A64" s="279" t="s">
        <v>36</v>
      </c>
      <c r="C64" s="317">
        <v>1217</v>
      </c>
      <c r="E64" s="317">
        <v>1230</v>
      </c>
      <c r="G64" s="317">
        <v>731</v>
      </c>
      <c r="I64" s="317">
        <v>1234</v>
      </c>
      <c r="K64" s="317">
        <v>1102</v>
      </c>
      <c r="M64" s="274"/>
    </row>
    <row r="65" spans="1:13" ht="11.25" customHeight="1">
      <c r="A65" s="279" t="s">
        <v>237</v>
      </c>
      <c r="C65" s="317">
        <v>1475</v>
      </c>
      <c r="E65" s="317">
        <v>1915</v>
      </c>
      <c r="G65" s="317">
        <v>892</v>
      </c>
      <c r="I65" s="317">
        <v>1555</v>
      </c>
      <c r="J65" s="282" t="s">
        <v>8</v>
      </c>
      <c r="K65" s="317">
        <v>1550</v>
      </c>
      <c r="L65" s="282" t="s">
        <v>9</v>
      </c>
      <c r="M65" s="274"/>
    </row>
    <row r="66" spans="1:13" ht="11.25" customHeight="1">
      <c r="A66" s="279" t="s">
        <v>281</v>
      </c>
      <c r="C66" s="317">
        <v>10336</v>
      </c>
      <c r="E66" s="317">
        <v>9122</v>
      </c>
      <c r="G66" s="317">
        <v>7958</v>
      </c>
      <c r="I66" s="317">
        <v>8454</v>
      </c>
      <c r="K66" s="317">
        <v>7407</v>
      </c>
      <c r="M66" s="274"/>
    </row>
    <row r="67" spans="1:13" ht="11.25" customHeight="1">
      <c r="A67" s="279" t="s">
        <v>340</v>
      </c>
      <c r="C67" s="317">
        <v>2215</v>
      </c>
      <c r="E67" s="317">
        <v>2033</v>
      </c>
      <c r="G67" s="317">
        <v>2203</v>
      </c>
      <c r="I67" s="317">
        <v>1953</v>
      </c>
      <c r="K67" s="317">
        <v>1855</v>
      </c>
      <c r="M67" s="274"/>
    </row>
    <row r="68" spans="1:13" ht="11.25" customHeight="1">
      <c r="A68" s="279" t="s">
        <v>341</v>
      </c>
      <c r="C68" s="317">
        <v>2575</v>
      </c>
      <c r="E68" s="317">
        <v>2558</v>
      </c>
      <c r="G68" s="317">
        <v>1218</v>
      </c>
      <c r="I68" s="317">
        <v>1002</v>
      </c>
      <c r="K68" s="317">
        <v>1082</v>
      </c>
      <c r="M68" s="274"/>
    </row>
    <row r="69" spans="1:13" ht="11.25" customHeight="1">
      <c r="A69" s="279" t="s">
        <v>85</v>
      </c>
      <c r="C69" s="317">
        <v>3529</v>
      </c>
      <c r="E69" s="317">
        <v>3421</v>
      </c>
      <c r="G69" s="317">
        <v>2819</v>
      </c>
      <c r="I69" s="317">
        <v>3391</v>
      </c>
      <c r="J69" s="282" t="s">
        <v>8</v>
      </c>
      <c r="K69" s="317">
        <v>2625</v>
      </c>
      <c r="M69" s="274"/>
    </row>
    <row r="70" spans="1:13" ht="11.25" customHeight="1">
      <c r="A70" s="279" t="s">
        <v>37</v>
      </c>
      <c r="C70" s="317">
        <v>71682</v>
      </c>
      <c r="E70" s="317">
        <v>71729</v>
      </c>
      <c r="G70" s="317">
        <v>71621</v>
      </c>
      <c r="I70" s="317">
        <v>75585</v>
      </c>
      <c r="K70" s="317">
        <v>71746</v>
      </c>
      <c r="M70" s="274"/>
    </row>
    <row r="71" spans="1:13" ht="11.25" customHeight="1">
      <c r="A71" s="279" t="s">
        <v>627</v>
      </c>
      <c r="C71" s="317">
        <v>23</v>
      </c>
      <c r="E71" s="317">
        <v>23</v>
      </c>
      <c r="G71" s="317">
        <v>20</v>
      </c>
      <c r="I71" s="317">
        <v>23</v>
      </c>
      <c r="J71" s="282" t="s">
        <v>8</v>
      </c>
      <c r="K71" s="317">
        <v>25</v>
      </c>
      <c r="M71" s="274"/>
    </row>
    <row r="72" spans="1:13" ht="11.25" customHeight="1">
      <c r="A72" s="279" t="s">
        <v>342</v>
      </c>
      <c r="C72" s="317">
        <v>8187</v>
      </c>
      <c r="E72" s="317">
        <v>8191</v>
      </c>
      <c r="G72" s="317">
        <v>7775</v>
      </c>
      <c r="I72" s="317">
        <v>8735</v>
      </c>
      <c r="K72" s="317">
        <v>9860</v>
      </c>
      <c r="M72" s="274"/>
    </row>
    <row r="73" spans="1:13" ht="11.25" customHeight="1">
      <c r="A73" s="279" t="s">
        <v>398</v>
      </c>
      <c r="C73" s="317">
        <v>1973</v>
      </c>
      <c r="E73" s="317">
        <v>1929</v>
      </c>
      <c r="G73" s="317">
        <v>1456</v>
      </c>
      <c r="I73" s="317">
        <v>1667</v>
      </c>
      <c r="K73" s="317">
        <v>1674</v>
      </c>
      <c r="M73" s="274"/>
    </row>
    <row r="74" spans="1:13" ht="11.25" customHeight="1">
      <c r="A74" s="279" t="s">
        <v>593</v>
      </c>
      <c r="C74" s="317">
        <v>618</v>
      </c>
      <c r="E74" s="317">
        <v>550</v>
      </c>
      <c r="F74" s="282" t="s">
        <v>8</v>
      </c>
      <c r="G74" s="317">
        <v>419</v>
      </c>
      <c r="H74" s="282" t="s">
        <v>8</v>
      </c>
      <c r="I74" s="317">
        <v>568</v>
      </c>
      <c r="J74" s="282" t="s">
        <v>8</v>
      </c>
      <c r="K74" s="317">
        <v>550</v>
      </c>
      <c r="L74" s="282" t="s">
        <v>9</v>
      </c>
      <c r="M74" s="274"/>
    </row>
    <row r="75" spans="1:13" ht="11.25" customHeight="1">
      <c r="A75" s="279" t="s">
        <v>38</v>
      </c>
      <c r="C75" s="317">
        <v>4947</v>
      </c>
      <c r="E75" s="317">
        <v>3931</v>
      </c>
      <c r="G75" s="317">
        <v>3444</v>
      </c>
      <c r="I75" s="317">
        <v>4863</v>
      </c>
      <c r="K75" s="317">
        <v>3872</v>
      </c>
      <c r="M75" s="274"/>
    </row>
    <row r="76" spans="1:13" ht="11.25" customHeight="1">
      <c r="A76" s="279" t="s">
        <v>345</v>
      </c>
      <c r="C76" s="317">
        <v>654</v>
      </c>
      <c r="E76" s="317">
        <v>623</v>
      </c>
      <c r="G76" s="317">
        <v>585</v>
      </c>
      <c r="I76" s="317">
        <v>662</v>
      </c>
      <c r="K76" s="317">
        <v>601</v>
      </c>
      <c r="M76" s="274"/>
    </row>
    <row r="77" spans="1:13" ht="11.25" customHeight="1">
      <c r="A77" s="279" t="s">
        <v>240</v>
      </c>
      <c r="C77" s="317">
        <v>6327</v>
      </c>
      <c r="E77" s="317">
        <v>6152</v>
      </c>
      <c r="G77" s="317">
        <v>3877</v>
      </c>
      <c r="I77" s="317">
        <v>5020</v>
      </c>
      <c r="K77" s="317">
        <v>4403</v>
      </c>
      <c r="M77" s="274"/>
    </row>
    <row r="78" spans="1:13" ht="11.25" customHeight="1">
      <c r="A78" s="279" t="s">
        <v>288</v>
      </c>
      <c r="C78" s="317">
        <v>14320</v>
      </c>
      <c r="E78" s="317">
        <v>13588</v>
      </c>
      <c r="G78" s="317">
        <v>10998</v>
      </c>
      <c r="I78" s="317">
        <v>14040</v>
      </c>
      <c r="K78" s="317">
        <v>11507</v>
      </c>
      <c r="M78" s="274"/>
    </row>
    <row r="79" spans="1:13" ht="11.25" customHeight="1">
      <c r="A79" s="279" t="s">
        <v>39</v>
      </c>
      <c r="C79" s="317">
        <v>4654</v>
      </c>
      <c r="E79" s="317">
        <v>4721</v>
      </c>
      <c r="G79" s="317">
        <v>4409</v>
      </c>
      <c r="I79" s="317">
        <v>4678</v>
      </c>
      <c r="K79" s="317">
        <v>4404</v>
      </c>
      <c r="M79" s="274"/>
    </row>
    <row r="80" spans="1:13" ht="11.25" customHeight="1">
      <c r="A80" s="279" t="s">
        <v>347</v>
      </c>
      <c r="C80" s="317">
        <v>1550</v>
      </c>
      <c r="E80" s="317">
        <v>1325</v>
      </c>
      <c r="G80" s="317">
        <v>1175</v>
      </c>
      <c r="I80" s="317">
        <v>1291</v>
      </c>
      <c r="J80" s="282" t="s">
        <v>8</v>
      </c>
      <c r="K80" s="317">
        <v>1200</v>
      </c>
      <c r="L80" s="282" t="s">
        <v>9</v>
      </c>
      <c r="M80" s="274"/>
    </row>
    <row r="81" spans="1:13" ht="11.25" customHeight="1">
      <c r="A81" s="279" t="s">
        <v>515</v>
      </c>
      <c r="C81" s="317">
        <v>45</v>
      </c>
      <c r="D81" s="282" t="s">
        <v>8</v>
      </c>
      <c r="E81" s="317">
        <v>45</v>
      </c>
      <c r="F81" s="282" t="s">
        <v>8</v>
      </c>
      <c r="G81" s="317">
        <v>37</v>
      </c>
      <c r="H81" s="282" t="s">
        <v>8</v>
      </c>
      <c r="I81" s="317">
        <v>33</v>
      </c>
      <c r="J81" s="282" t="s">
        <v>8</v>
      </c>
      <c r="K81" s="317">
        <v>30</v>
      </c>
      <c r="L81" s="282" t="s">
        <v>9</v>
      </c>
      <c r="M81" s="274"/>
    </row>
    <row r="82" spans="1:13" ht="11.25" customHeight="1">
      <c r="A82" s="279" t="s">
        <v>349</v>
      </c>
      <c r="C82" s="317">
        <v>23240</v>
      </c>
      <c r="E82" s="317">
        <v>21954</v>
      </c>
      <c r="G82" s="317">
        <v>20959</v>
      </c>
      <c r="I82" s="317">
        <v>23233</v>
      </c>
      <c r="K82" s="317">
        <v>20801</v>
      </c>
      <c r="M82" s="274"/>
    </row>
    <row r="83" spans="1:13" ht="11.25" customHeight="1">
      <c r="A83" s="279" t="s">
        <v>628</v>
      </c>
      <c r="C83" s="317">
        <v>135</v>
      </c>
      <c r="D83" s="282" t="s">
        <v>8</v>
      </c>
      <c r="E83" s="317">
        <v>140</v>
      </c>
      <c r="F83" s="282" t="s">
        <v>8</v>
      </c>
      <c r="G83" s="317">
        <v>120</v>
      </c>
      <c r="H83" s="282" t="s">
        <v>8</v>
      </c>
      <c r="I83" s="317">
        <v>145</v>
      </c>
      <c r="J83" s="282" t="s">
        <v>8</v>
      </c>
      <c r="K83" s="317">
        <v>140</v>
      </c>
      <c r="M83" s="274"/>
    </row>
    <row r="84" spans="1:13" ht="11.25" customHeight="1">
      <c r="A84" s="279" t="s">
        <v>40</v>
      </c>
      <c r="C84" s="317">
        <v>6403</v>
      </c>
      <c r="E84" s="317">
        <v>4246</v>
      </c>
      <c r="G84" s="317">
        <v>4467</v>
      </c>
      <c r="I84" s="317">
        <v>5473</v>
      </c>
      <c r="K84" s="317">
        <v>5316</v>
      </c>
      <c r="M84" s="274"/>
    </row>
    <row r="85" spans="1:13" ht="11.25" customHeight="1">
      <c r="A85" s="279" t="s">
        <v>42</v>
      </c>
      <c r="C85" s="317">
        <v>84</v>
      </c>
      <c r="E85" s="317">
        <v>77</v>
      </c>
      <c r="G85" s="317">
        <v>84</v>
      </c>
      <c r="I85" s="317">
        <v>85</v>
      </c>
      <c r="K85" s="317">
        <v>76</v>
      </c>
      <c r="M85" s="274"/>
    </row>
    <row r="86" spans="1:13" ht="11.25" customHeight="1">
      <c r="A86" s="279" t="s">
        <v>45</v>
      </c>
      <c r="C86" s="317">
        <v>37312</v>
      </c>
      <c r="E86" s="317">
        <v>33743</v>
      </c>
      <c r="G86" s="317">
        <v>35810</v>
      </c>
      <c r="I86" s="317">
        <v>40360</v>
      </c>
      <c r="K86" s="317">
        <v>35134</v>
      </c>
      <c r="M86" s="274"/>
    </row>
    <row r="87" spans="1:13" ht="11.25" customHeight="1">
      <c r="A87" s="279" t="s">
        <v>242</v>
      </c>
      <c r="C87" s="317">
        <v>190</v>
      </c>
      <c r="D87" s="282" t="s">
        <v>9</v>
      </c>
      <c r="E87" s="317">
        <v>210</v>
      </c>
      <c r="G87" s="317">
        <v>210</v>
      </c>
      <c r="H87" s="282" t="s">
        <v>9</v>
      </c>
      <c r="I87" s="317">
        <v>250</v>
      </c>
      <c r="J87" s="282" t="s">
        <v>79</v>
      </c>
      <c r="K87" s="317">
        <v>360</v>
      </c>
      <c r="L87" s="282" t="s">
        <v>9</v>
      </c>
      <c r="M87" s="274"/>
    </row>
    <row r="88" spans="1:13" ht="11.25" customHeight="1">
      <c r="A88" s="279" t="s">
        <v>49</v>
      </c>
      <c r="C88" s="317">
        <v>21101</v>
      </c>
      <c r="E88" s="317">
        <v>20848</v>
      </c>
      <c r="G88" s="317">
        <v>20550</v>
      </c>
      <c r="H88" s="282" t="s">
        <v>8</v>
      </c>
      <c r="I88" s="317">
        <v>21366</v>
      </c>
      <c r="K88" s="317">
        <v>6263</v>
      </c>
      <c r="M88" s="274"/>
    </row>
    <row r="89" spans="1:13" ht="11.25" customHeight="1">
      <c r="A89" s="279" t="s">
        <v>596</v>
      </c>
      <c r="C89" s="317">
        <v>3247</v>
      </c>
      <c r="E89" s="317">
        <v>3327</v>
      </c>
      <c r="G89" s="317">
        <v>2722</v>
      </c>
      <c r="I89" s="317">
        <v>2997</v>
      </c>
      <c r="K89" s="317">
        <v>3211</v>
      </c>
      <c r="M89" s="274"/>
    </row>
    <row r="90" spans="1:13" ht="11.25" customHeight="1">
      <c r="A90" s="279" t="s">
        <v>50</v>
      </c>
      <c r="C90" s="317">
        <v>7268</v>
      </c>
      <c r="E90" s="317">
        <v>7218</v>
      </c>
      <c r="G90" s="317">
        <v>7086</v>
      </c>
      <c r="I90" s="317">
        <v>7346</v>
      </c>
      <c r="K90" s="317">
        <v>5963</v>
      </c>
      <c r="M90" s="274"/>
    </row>
    <row r="91" spans="1:13" ht="11.25" customHeight="1">
      <c r="A91" s="279" t="s">
        <v>51</v>
      </c>
      <c r="C91" s="317">
        <v>86600</v>
      </c>
      <c r="E91" s="317">
        <v>87800</v>
      </c>
      <c r="G91" s="317">
        <v>72700</v>
      </c>
      <c r="I91" s="317">
        <v>85800</v>
      </c>
      <c r="K91" s="317">
        <v>80500</v>
      </c>
      <c r="M91" s="274"/>
    </row>
    <row r="92" spans="1:13" ht="11.25" customHeight="1">
      <c r="A92" s="279" t="s">
        <v>352</v>
      </c>
      <c r="C92" s="317">
        <v>60</v>
      </c>
      <c r="E92" s="317">
        <v>62</v>
      </c>
      <c r="G92" s="317">
        <v>49</v>
      </c>
      <c r="I92" s="317">
        <v>63</v>
      </c>
      <c r="K92" s="317">
        <v>55</v>
      </c>
      <c r="M92" s="274"/>
    </row>
    <row r="93" spans="1:13" ht="11.25" customHeight="1">
      <c r="A93" s="279" t="s">
        <v>353</v>
      </c>
      <c r="C93" s="317">
        <v>646</v>
      </c>
      <c r="E93" s="317">
        <v>666</v>
      </c>
      <c r="G93" s="317">
        <v>939</v>
      </c>
      <c r="I93" s="317">
        <v>1049</v>
      </c>
      <c r="J93" s="282" t="s">
        <v>8</v>
      </c>
      <c r="K93" s="317">
        <v>950</v>
      </c>
      <c r="M93" s="274"/>
    </row>
    <row r="94" spans="1:13" ht="11.25" customHeight="1">
      <c r="A94" s="279" t="s">
        <v>52</v>
      </c>
      <c r="C94" s="317">
        <v>129</v>
      </c>
      <c r="E94" s="317">
        <v>50</v>
      </c>
      <c r="G94" s="317">
        <v>29</v>
      </c>
      <c r="I94" s="317">
        <v>29</v>
      </c>
      <c r="K94" s="317">
        <v>27</v>
      </c>
      <c r="M94" s="274"/>
    </row>
    <row r="95" spans="1:13" ht="11.25" customHeight="1">
      <c r="A95" s="279" t="s">
        <v>86</v>
      </c>
      <c r="C95" s="317">
        <v>15471</v>
      </c>
      <c r="E95" s="317">
        <v>17469</v>
      </c>
      <c r="G95" s="317">
        <v>19900</v>
      </c>
      <c r="I95" s="317">
        <v>23019</v>
      </c>
      <c r="K95" s="317">
        <v>20004</v>
      </c>
      <c r="M95" s="274"/>
    </row>
    <row r="96" spans="1:13" ht="11.25" customHeight="1">
      <c r="A96" s="279" t="s">
        <v>629</v>
      </c>
      <c r="C96" s="317">
        <v>210</v>
      </c>
      <c r="D96" s="282" t="s">
        <v>8</v>
      </c>
      <c r="E96" s="317">
        <v>220</v>
      </c>
      <c r="F96" s="282" t="s">
        <v>8</v>
      </c>
      <c r="G96" s="317">
        <v>200</v>
      </c>
      <c r="H96" s="282" t="s">
        <v>8</v>
      </c>
      <c r="I96" s="317">
        <v>220</v>
      </c>
      <c r="J96" s="282" t="s">
        <v>8</v>
      </c>
      <c r="K96" s="317">
        <v>200</v>
      </c>
      <c r="M96" s="274"/>
    </row>
    <row r="97" spans="1:14" ht="11.25" customHeight="1">
      <c r="A97" s="283" t="s">
        <v>54</v>
      </c>
      <c r="C97" s="319">
        <v>1820000</v>
      </c>
      <c r="D97" s="276"/>
      <c r="E97" s="319">
        <v>1870000</v>
      </c>
      <c r="F97" s="276"/>
      <c r="G97" s="319">
        <v>1880000</v>
      </c>
      <c r="H97" s="276"/>
      <c r="I97" s="319">
        <v>1950000</v>
      </c>
      <c r="J97" s="276"/>
      <c r="K97" s="319">
        <v>1880000</v>
      </c>
      <c r="L97" s="276"/>
      <c r="M97" s="274"/>
    </row>
    <row r="98" spans="1:14" ht="11.25" customHeight="1">
      <c r="A98" s="451" t="s">
        <v>630</v>
      </c>
      <c r="B98" s="451"/>
      <c r="C98" s="451"/>
      <c r="D98" s="451"/>
      <c r="E98" s="451"/>
      <c r="F98" s="451"/>
      <c r="G98" s="451"/>
      <c r="H98" s="451"/>
      <c r="I98" s="451"/>
      <c r="J98" s="451"/>
      <c r="K98" s="451"/>
      <c r="L98" s="451"/>
      <c r="M98" s="311"/>
      <c r="N98" s="311"/>
    </row>
    <row r="99" spans="1:14" ht="22.5" customHeight="1">
      <c r="A99" s="450" t="s">
        <v>631</v>
      </c>
      <c r="B99" s="450"/>
      <c r="C99" s="450"/>
      <c r="D99" s="450"/>
      <c r="E99" s="450"/>
      <c r="F99" s="450"/>
      <c r="G99" s="450"/>
      <c r="H99" s="450"/>
      <c r="I99" s="450"/>
      <c r="J99" s="450"/>
      <c r="K99" s="450"/>
      <c r="L99" s="450"/>
      <c r="M99" s="311"/>
      <c r="N99" s="311"/>
    </row>
    <row r="100" spans="1:14" ht="22.5" customHeight="1">
      <c r="A100" s="450" t="s">
        <v>632</v>
      </c>
      <c r="B100" s="450"/>
      <c r="C100" s="450"/>
      <c r="D100" s="450"/>
      <c r="E100" s="450"/>
      <c r="F100" s="450"/>
      <c r="G100" s="450"/>
      <c r="H100" s="450"/>
      <c r="I100" s="450"/>
      <c r="J100" s="450"/>
      <c r="K100" s="450"/>
      <c r="L100" s="450"/>
      <c r="M100" s="311"/>
      <c r="N100" s="311"/>
    </row>
    <row r="101" spans="1:14" ht="22.5" customHeight="1">
      <c r="A101" s="450" t="s">
        <v>633</v>
      </c>
      <c r="B101" s="450"/>
      <c r="C101" s="450"/>
      <c r="D101" s="450"/>
      <c r="E101" s="450"/>
      <c r="F101" s="450"/>
      <c r="G101" s="450"/>
      <c r="H101" s="450"/>
      <c r="I101" s="450"/>
      <c r="J101" s="450"/>
      <c r="K101" s="450"/>
      <c r="L101" s="450"/>
      <c r="M101" s="311"/>
      <c r="N101" s="311"/>
    </row>
    <row r="102" spans="1:14" ht="11.25" customHeight="1">
      <c r="A102" s="450" t="s">
        <v>634</v>
      </c>
      <c r="B102" s="450"/>
      <c r="C102" s="450"/>
      <c r="D102" s="450"/>
      <c r="E102" s="450"/>
      <c r="F102" s="450"/>
      <c r="G102" s="450"/>
      <c r="H102" s="450"/>
      <c r="I102" s="450"/>
      <c r="J102" s="450"/>
      <c r="K102" s="450"/>
      <c r="L102" s="450"/>
      <c r="M102" s="311"/>
      <c r="N102" s="311"/>
    </row>
    <row r="103" spans="1:14" ht="11.25" customHeight="1"/>
    <row r="104" spans="1:14" ht="11.25" customHeight="1"/>
  </sheetData>
  <mergeCells count="10">
    <mergeCell ref="A99:L99"/>
    <mergeCell ref="A100:L100"/>
    <mergeCell ref="A101:L101"/>
    <mergeCell ref="A102:L102"/>
    <mergeCell ref="A1:L1"/>
    <mergeCell ref="A2:L2"/>
    <mergeCell ref="A3:L3"/>
    <mergeCell ref="A4:L4"/>
    <mergeCell ref="A5:L5"/>
    <mergeCell ref="A98:L98"/>
  </mergeCells>
  <pageMargins left="0.5" right="0.5" top="0.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iron_ore</vt:lpstr>
      <vt:lpstr>metal_content</vt:lpstr>
      <vt:lpstr>pig_direct_iron</vt:lpstr>
      <vt:lpstr>raw_steel</vt:lpstr>
      <vt:lpstr>98-02</vt:lpstr>
      <vt:lpstr>03-07</vt:lpstr>
      <vt:lpstr>08-12</vt:lpstr>
      <vt:lpstr>13-17</vt:lpstr>
      <vt:lpstr>17-21</vt:lpstr>
      <vt:lpstr>pig 98-02</vt:lpstr>
      <vt:lpstr>pig 03-07</vt:lpstr>
      <vt:lpstr>pig 08-12</vt:lpstr>
      <vt:lpstr>pig 13-17</vt:lpstr>
      <vt:lpstr>pig 18-22</vt:lpstr>
      <vt:lpstr>st 98-02</vt:lpstr>
      <vt:lpstr>st 03-07</vt:lpstr>
      <vt:lpstr>st 08-12</vt:lpstr>
      <vt:lpstr>st 13-17</vt:lpstr>
      <vt:lpstr>st 18-22</vt:lpstr>
      <vt:lpstr>'pig 98-02'!Print_Area</vt:lpstr>
      <vt:lpstr>'st 98-02'!Print_Area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 Faisal, Mr</dc:creator>
  <cp:lastModifiedBy>Abdullah Al Faisal, Mr</cp:lastModifiedBy>
  <dcterms:created xsi:type="dcterms:W3CDTF">2024-08-16T14:34:13Z</dcterms:created>
  <dcterms:modified xsi:type="dcterms:W3CDTF">2024-11-29T19:12:24Z</dcterms:modified>
</cp:coreProperties>
</file>